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atios" sheetId="2" state="visible" r:id="rId4"/>
    <sheet name="Cash Flow" sheetId="3" state="visible" r:id="rId5"/>
    <sheet name="Zakat" sheetId="4" state="visible" r:id="rId6"/>
    <sheet name="Break-even" sheetId="5" state="visible" r:id="rId7"/>
    <sheet name="Reconcili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4" authorId="0">
      <text>
        <r>
          <rPr>
            <sz val="10"/>
            <rFont val="Arial"/>
            <family val="2"/>
          </rPr>
          <t xml:space="preserve">Zero means the balance sheet balances and ties to net profit from the income statement.</t>
        </r>
      </text>
    </comment>
  </commentList>
</comments>
</file>

<file path=xl/sharedStrings.xml><?xml version="1.0" encoding="utf-8"?>
<sst xmlns="http://schemas.openxmlformats.org/spreadsheetml/2006/main" count="376" uniqueCount="287">
  <si>
    <t xml:space="preserve">Rawafid Trading Co. - Odoo balances, FY 2026</t>
  </si>
  <si>
    <t xml:space="preserve">Source: Odoo reports as of 31/12/2026 (Balance Sheet, Profit and Loss). SAR. Blue = typed from Odoo.</t>
  </si>
  <si>
    <t xml:space="preserve">Account</t>
  </si>
  <si>
    <t xml:space="preserve">Name</t>
  </si>
  <si>
    <t xml:space="preserve">Balance (SAR)</t>
  </si>
  <si>
    <t xml:space="preserve">Group</t>
  </si>
  <si>
    <t xml:space="preserve">Total (SAR)</t>
  </si>
  <si>
    <t xml:space="preserve">101001</t>
  </si>
  <si>
    <t xml:space="preserve">Bank</t>
  </si>
  <si>
    <t xml:space="preserve">Cash</t>
  </si>
  <si>
    <t xml:space="preserve">101007</t>
  </si>
  <si>
    <t xml:space="preserve">Bank Albilad</t>
  </si>
  <si>
    <t xml:space="preserve">Receivables</t>
  </si>
  <si>
    <t xml:space="preserve">102011</t>
  </si>
  <si>
    <t xml:space="preserve">Accounts receivable</t>
  </si>
  <si>
    <t xml:space="preserve">Inventory</t>
  </si>
  <si>
    <t xml:space="preserve">102017</t>
  </si>
  <si>
    <t xml:space="preserve">Provision for doubtful receivables</t>
  </si>
  <si>
    <t xml:space="preserve">VAT recoverable</t>
  </si>
  <si>
    <t xml:space="preserve">100202</t>
  </si>
  <si>
    <t xml:space="preserve">Prepayments</t>
  </si>
  <si>
    <t xml:space="preserve">101060</t>
  </si>
  <si>
    <t xml:space="preserve">VAT paid at customs</t>
  </si>
  <si>
    <t xml:space="preserve">Fixed assets</t>
  </si>
  <si>
    <t xml:space="preserve">104041</t>
  </si>
  <si>
    <t xml:space="preserve">Input VAT</t>
  </si>
  <si>
    <t xml:space="preserve">Payables</t>
  </si>
  <si>
    <t xml:space="preserve">104043</t>
  </si>
  <si>
    <t xml:space="preserve">Input VAT (other)</t>
  </si>
  <si>
    <t xml:space="preserve">Output VAT</t>
  </si>
  <si>
    <t xml:space="preserve">104024</t>
  </si>
  <si>
    <t xml:space="preserve">Prepaid insurance</t>
  </si>
  <si>
    <t xml:space="preserve">Zakat payable</t>
  </si>
  <si>
    <t xml:space="preserve">100107</t>
  </si>
  <si>
    <t xml:space="preserve">Machinery and tools</t>
  </si>
  <si>
    <t xml:space="preserve">Capital</t>
  </si>
  <si>
    <t xml:space="preserve">100108</t>
  </si>
  <si>
    <t xml:space="preserve">Furniture and equipment</t>
  </si>
  <si>
    <t xml:space="preserve">Sales</t>
  </si>
  <si>
    <t xml:space="preserve">100110</t>
  </si>
  <si>
    <t xml:space="preserve">Vehicles</t>
  </si>
  <si>
    <t xml:space="preserve">Other revenue</t>
  </si>
  <si>
    <t xml:space="preserve">102020</t>
  </si>
  <si>
    <t xml:space="preserve">Acc. depreciation - vehicles</t>
  </si>
  <si>
    <t xml:space="preserve">COGS</t>
  </si>
  <si>
    <t xml:space="preserve">102021</t>
  </si>
  <si>
    <t xml:space="preserve">Acc. depreciation - machinery</t>
  </si>
  <si>
    <t xml:space="preserve">Salaries</t>
  </si>
  <si>
    <t xml:space="preserve">102022</t>
  </si>
  <si>
    <t xml:space="preserve">Acc. depreciation - furniture</t>
  </si>
  <si>
    <t xml:space="preserve">GOSI</t>
  </si>
  <si>
    <t xml:space="preserve">201002</t>
  </si>
  <si>
    <t xml:space="preserve">Accounts payable</t>
  </si>
  <si>
    <t xml:space="preserve">Rent</t>
  </si>
  <si>
    <t xml:space="preserve">201022</t>
  </si>
  <si>
    <t xml:space="preserve">GOSI payable</t>
  </si>
  <si>
    <t xml:space="preserve">Utilities</t>
  </si>
  <si>
    <t xml:space="preserve">201017</t>
  </si>
  <si>
    <t xml:space="preserve">Insurance</t>
  </si>
  <si>
    <t xml:space="preserve">201040</t>
  </si>
  <si>
    <t xml:space="preserve">Vehicle rental</t>
  </si>
  <si>
    <t xml:space="preserve">300001</t>
  </si>
  <si>
    <t xml:space="preserve">Share capital</t>
  </si>
  <si>
    <t xml:space="preserve">Other opex</t>
  </si>
  <si>
    <t xml:space="preserve">500001</t>
  </si>
  <si>
    <t xml:space="preserve">Product sales</t>
  </si>
  <si>
    <t xml:space="preserve">Non-recurring</t>
  </si>
  <si>
    <t xml:space="preserve">500007</t>
  </si>
  <si>
    <t xml:space="preserve">Rental income</t>
  </si>
  <si>
    <t xml:space="preserve">Zakat</t>
  </si>
  <si>
    <t xml:space="preserve">500099</t>
  </si>
  <si>
    <t xml:space="preserve">Cost of goods sold</t>
  </si>
  <si>
    <t xml:space="preserve">Other income</t>
  </si>
  <si>
    <t xml:space="preserve">400003</t>
  </si>
  <si>
    <t xml:space="preserve">Basic salary</t>
  </si>
  <si>
    <t xml:space="preserve">Gain on disposal</t>
  </si>
  <si>
    <t xml:space="preserve">400004</t>
  </si>
  <si>
    <t xml:space="preserve">Housing allowance</t>
  </si>
  <si>
    <t xml:space="preserve">Depreciation</t>
  </si>
  <si>
    <t xml:space="preserve">400005</t>
  </si>
  <si>
    <t xml:space="preserve">Transport allowance</t>
  </si>
  <si>
    <t xml:space="preserve">400012</t>
  </si>
  <si>
    <t xml:space="preserve">Other allowances</t>
  </si>
  <si>
    <t xml:space="preserve">Total assets</t>
  </si>
  <si>
    <t xml:space="preserve">400010</t>
  </si>
  <si>
    <t xml:space="preserve">GOSI employer share</t>
  </si>
  <si>
    <t xml:space="preserve">Total liabilities</t>
  </si>
  <si>
    <t xml:space="preserve">400017</t>
  </si>
  <si>
    <t xml:space="preserve">Warehouse rent</t>
  </si>
  <si>
    <t xml:space="preserve">Net profit</t>
  </si>
  <si>
    <t xml:space="preserve">400018</t>
  </si>
  <si>
    <t xml:space="preserve">Water and electricity</t>
  </si>
  <si>
    <t xml:space="preserve">Check: A - L - E (should be 0)</t>
  </si>
  <si>
    <t xml:space="preserve">400040</t>
  </si>
  <si>
    <t xml:space="preserve">400074</t>
  </si>
  <si>
    <t xml:space="preserve">400006</t>
  </si>
  <si>
    <t xml:space="preserve">Exit/re-entry tickets</t>
  </si>
  <si>
    <t xml:space="preserve">400023</t>
  </si>
  <si>
    <t xml:space="preserve">Communication</t>
  </si>
  <si>
    <t xml:space="preserve">400034</t>
  </si>
  <si>
    <t xml:space="preserve">Advertising</t>
  </si>
  <si>
    <t xml:space="preserve">400051</t>
  </si>
  <si>
    <t xml:space="preserve">Bank charges</t>
  </si>
  <si>
    <t xml:space="preserve">400091</t>
  </si>
  <si>
    <t xml:space="preserve">Other employee expenses</t>
  </si>
  <si>
    <t xml:space="preserve">400099</t>
  </si>
  <si>
    <t xml:space="preserve">End of service benefits</t>
  </si>
  <si>
    <t xml:space="preserve">400068</t>
  </si>
  <si>
    <t xml:space="preserve">Doubtful debts expense</t>
  </si>
  <si>
    <t xml:space="preserve">400100</t>
  </si>
  <si>
    <t xml:space="preserve">Loss on asset revaluation</t>
  </si>
  <si>
    <t xml:space="preserve">400072</t>
  </si>
  <si>
    <t xml:space="preserve">Zakat expense</t>
  </si>
  <si>
    <t xml:space="preserve">500009</t>
  </si>
  <si>
    <t xml:space="preserve">Interest income</t>
  </si>
  <si>
    <t xml:space="preserve">999001</t>
  </si>
  <si>
    <t xml:space="preserve">FX gain</t>
  </si>
  <si>
    <t xml:space="preserve">999003</t>
  </si>
  <si>
    <t xml:space="preserve">Gain on asset disposal</t>
  </si>
  <si>
    <t xml:space="preserve">401004</t>
  </si>
  <si>
    <t xml:space="preserve">Depreciation - machinery</t>
  </si>
  <si>
    <t xml:space="preserve">401006</t>
  </si>
  <si>
    <t xml:space="preserve">Depreciation - furniture</t>
  </si>
  <si>
    <t xml:space="preserve">401007</t>
  </si>
  <si>
    <t xml:space="preserve">Depreciation - vehicles</t>
  </si>
  <si>
    <t xml:space="preserve">Helper</t>
  </si>
  <si>
    <t xml:space="preserve">SAR</t>
  </si>
  <si>
    <t xml:space="preserve">Liquidity</t>
  </si>
  <si>
    <t xml:space="preserve">Revenue</t>
  </si>
  <si>
    <t xml:space="preserve">Current ratio</t>
  </si>
  <si>
    <t xml:space="preserve">Current assets / current liabilities</t>
  </si>
  <si>
    <t xml:space="preserve">Comfortable</t>
  </si>
  <si>
    <t xml:space="preserve">Gross profit</t>
  </si>
  <si>
    <t xml:space="preserve">Quick ratio</t>
  </si>
  <si>
    <t xml:space="preserve">(Cash + net receivables) / current liabilities</t>
  </si>
  <si>
    <t xml:space="preserve">Strong</t>
  </si>
  <si>
    <t xml:space="preserve">Operating expenses excl. zakat</t>
  </si>
  <si>
    <t xml:space="preserve">Cash ratio</t>
  </si>
  <si>
    <t xml:space="preserve">Cash / current liabilities</t>
  </si>
  <si>
    <t xml:space="preserve">Cash covers almost all short-term debts</t>
  </si>
  <si>
    <t xml:space="preserve">Operating income before zakat</t>
  </si>
  <si>
    <t xml:space="preserve">Profitability</t>
  </si>
  <si>
    <t xml:space="preserve">Gross receivables</t>
  </si>
  <si>
    <t xml:space="preserve">Gross profit margin</t>
  </si>
  <si>
    <t xml:space="preserve">Gross profit / revenue</t>
  </si>
  <si>
    <t xml:space="preserve">Normal for building materials trading</t>
  </si>
  <si>
    <t xml:space="preserve">Operating margin (before zakat)</t>
  </si>
  <si>
    <t xml:space="preserve">Operating income before zakat / revenue</t>
  </si>
  <si>
    <t xml:space="preserve">Thin</t>
  </si>
  <si>
    <t xml:space="preserve">Net profit margin</t>
  </si>
  <si>
    <t xml:space="preserve">Net profit / revenue</t>
  </si>
  <si>
    <t xml:space="preserve">Operating expenses / gross profit</t>
  </si>
  <si>
    <t xml:space="preserve">Operating expenses (excl. zakat) / gross profit</t>
  </si>
  <si>
    <t xml:space="preserve">High: the main reason margins are thin</t>
  </si>
  <si>
    <t xml:space="preserve">Return on assets</t>
  </si>
  <si>
    <t xml:space="preserve">Net profit / total assets</t>
  </si>
  <si>
    <t xml:space="preserve">Return on equity</t>
  </si>
  <si>
    <t xml:space="preserve">Net profit / equity</t>
  </si>
  <si>
    <t xml:space="preserve">Strong for a first year</t>
  </si>
  <si>
    <t xml:space="preserve">Activity</t>
  </si>
  <si>
    <t xml:space="preserve">Asset turnover</t>
  </si>
  <si>
    <t xml:space="preserve">Revenue / total assets</t>
  </si>
  <si>
    <t xml:space="preserve">Assets are used intensively</t>
  </si>
  <si>
    <t xml:space="preserve">Receivables turnover</t>
  </si>
  <si>
    <t xml:space="preserve">Product sales / gross receivables</t>
  </si>
  <si>
    <t xml:space="preserve">Uses total sales; cash sales flatter it</t>
  </si>
  <si>
    <t xml:space="preserve">Days sales outstanding</t>
  </si>
  <si>
    <t xml:space="preserve">365 / receivables turnover</t>
  </si>
  <si>
    <t xml:space="preserve">Conflicts with the aging report (see review notes)</t>
  </si>
  <si>
    <t xml:space="preserve">Leverage</t>
  </si>
  <si>
    <t xml:space="preserve">Debt ratio</t>
  </si>
  <si>
    <t xml:space="preserve">Liabilities / total assets</t>
  </si>
  <si>
    <t xml:space="preserve">Conservative</t>
  </si>
  <si>
    <t xml:space="preserve">Liabilities to equity</t>
  </si>
  <si>
    <t xml:space="preserve">Liabilities / equity</t>
  </si>
  <si>
    <t xml:space="preserve">Safe</t>
  </si>
  <si>
    <t xml:space="preserve">Conclusion: liquidity and leverage are healthy; profitability is the weak point because operating expenses absorb most of gross profit.</t>
  </si>
  <si>
    <t xml:space="preserve">Statement of cash flows - indirect method, FY 2026</t>
  </si>
  <si>
    <t xml:space="preserve">Built from the year-end balance sheet; all opening balances are zero (first year).</t>
  </si>
  <si>
    <t xml:space="preserve">Line</t>
  </si>
  <si>
    <t xml:space="preserve">Source</t>
  </si>
  <si>
    <t xml:space="preserve">Operating activities</t>
  </si>
  <si>
    <t xml:space="preserve">Income statement</t>
  </si>
  <si>
    <t xml:space="preserve">Non-cash</t>
  </si>
  <si>
    <t xml:space="preserve">Proceeds shown under investing</t>
  </si>
  <si>
    <t xml:space="preserve">Doubtful debts provision</t>
  </si>
  <si>
    <t xml:space="preserve">Zakat accrued, unpaid</t>
  </si>
  <si>
    <t xml:space="preserve">Non-cash until paid</t>
  </si>
  <si>
    <t xml:space="preserve">Increase in receivables (gross)</t>
  </si>
  <si>
    <t xml:space="preserve">Working capital</t>
  </si>
  <si>
    <t xml:space="preserve">Increase in inventory</t>
  </si>
  <si>
    <t xml:space="preserve">Increase in VAT recoverable</t>
  </si>
  <si>
    <t xml:space="preserve">Increase in prepayments</t>
  </si>
  <si>
    <t xml:space="preserve">Increase in payables (incl. GOSI)</t>
  </si>
  <si>
    <t xml:space="preserve">Increase in output VAT</t>
  </si>
  <si>
    <t xml:space="preserve">Net cash from operating activities</t>
  </si>
  <si>
    <t xml:space="preserve">Investing activities</t>
  </si>
  <si>
    <t xml:space="preserve">Purchase of fixed assets</t>
  </si>
  <si>
    <t xml:space="preserve">Odoo cash flow report: 75,000 + 15,000 + 378,000</t>
  </si>
  <si>
    <t xml:space="preserve">Proceeds from asset disposal</t>
  </si>
  <si>
    <t xml:space="preserve">Odoo cash flow report: 116,000 + 15,000</t>
  </si>
  <si>
    <t xml:space="preserve">Net cash used in investing activities</t>
  </si>
  <si>
    <t xml:space="preserve">Financing activities</t>
  </si>
  <si>
    <t xml:space="preserve">Share capital paid in</t>
  </si>
  <si>
    <t xml:space="preserve">Account 300001</t>
  </si>
  <si>
    <t xml:space="preserve">Net cash from financing activities</t>
  </si>
  <si>
    <t xml:space="preserve">Net increase in cash</t>
  </si>
  <si>
    <t xml:space="preserve">Cash at 1 January 2026</t>
  </si>
  <si>
    <t xml:space="preserve">First year</t>
  </si>
  <si>
    <t xml:space="preserve">Cash at 31 December 2026</t>
  </si>
  <si>
    <t xml:space="preserve">Cash per balance sheet</t>
  </si>
  <si>
    <t xml:space="preserve">Accounts 101001 + 101007</t>
  </si>
  <si>
    <t xml:space="preserve">Difference (should be 0)</t>
  </si>
  <si>
    <t xml:space="preserve">Fixed asset roll-forward check: purchases - revaluation loss - NBV of disposal - depreciation = net fixed assets</t>
  </si>
  <si>
    <t xml:space="preserve">NBV of vehicle disposed (proceeds - gain)</t>
  </si>
  <si>
    <t xml:space="preserve">Net fixed assets (roll-forward)</t>
  </si>
  <si>
    <t xml:space="preserve">Net fixed assets per balance sheet</t>
  </si>
  <si>
    <t xml:space="preserve">Zakat calculation - FY 2026</t>
  </si>
  <si>
    <t xml:space="preserve">Simplified base for a trading company (ZATCA rules govern the full calculation).</t>
  </si>
  <si>
    <t xml:space="preserve">Item</t>
  </si>
  <si>
    <t xml:space="preserve">Note</t>
  </si>
  <si>
    <t xml:space="preserve">Added</t>
  </si>
  <si>
    <t xml:space="preserve">Profit before zakat</t>
  </si>
  <si>
    <t xml:space="preserve">Added: provisions are part of the base</t>
  </si>
  <si>
    <t xml:space="preserve">Net fixed assets</t>
  </si>
  <si>
    <t xml:space="preserve">Deducted</t>
  </si>
  <si>
    <t xml:space="preserve">Zakat base</t>
  </si>
  <si>
    <t xml:space="preserve">Base is never below profit before zakat</t>
  </si>
  <si>
    <t xml:space="preserve">Zakat rate (Gregorian year)</t>
  </si>
  <si>
    <t xml:space="preserve">2.5% x 365/354</t>
  </si>
  <si>
    <t xml:space="preserve">Zakat due</t>
  </si>
  <si>
    <t xml:space="preserve">Zakat booked in Odoo</t>
  </si>
  <si>
    <t xml:space="preserve">Account 400072 / 201040</t>
  </si>
  <si>
    <t xml:space="preserve">Difference</t>
  </si>
  <si>
    <t xml:space="preserve">Small difference to review against the booked entry</t>
  </si>
  <si>
    <t xml:space="preserve">Break-even model - monthly, based on FY 2026 actuals</t>
  </si>
  <si>
    <t xml:space="preserve">Fixed costs = annual Odoo totals / 12. Variable cost ratio = COGS / product sales from the books.</t>
  </si>
  <si>
    <t xml:space="preserve">Monthly fixed costs</t>
  </si>
  <si>
    <t xml:space="preserve">SAR / month</t>
  </si>
  <si>
    <t xml:space="preserve">Salaries and allowances</t>
  </si>
  <si>
    <t xml:space="preserve">400003+400004+400005+400012</t>
  </si>
  <si>
    <t xml:space="preserve">Employer GOSI</t>
  </si>
  <si>
    <t xml:space="preserve">Other expenses</t>
  </si>
  <si>
    <t xml:space="preserve">400006, 400023, 400034, 400051, 400091, 400099</t>
  </si>
  <si>
    <t xml:space="preserve">Depreciation (full monthly charge)</t>
  </si>
  <si>
    <t xml:space="preserve">Asset register: straight line, 5 and 10 years</t>
  </si>
  <si>
    <t xml:space="preserve">Total fixed costs</t>
  </si>
  <si>
    <t xml:space="preserve">Drivers</t>
  </si>
  <si>
    <t xml:space="preserve">Value</t>
  </si>
  <si>
    <t xml:space="preserve">Variable cost ratio (COGS / product sales)</t>
  </si>
  <si>
    <t xml:space="preserve">Books: 7,334,000 / 9,221,000</t>
  </si>
  <si>
    <t xml:space="preserve">Scenario variable cost ratio</t>
  </si>
  <si>
    <t xml:space="preserve">Key lever: overwrite to test a scenario (default = books)</t>
  </si>
  <si>
    <t xml:space="preserve">Average monthly product sales</t>
  </si>
  <si>
    <t xml:space="preserve">Results</t>
  </si>
  <si>
    <t xml:space="preserve">Contribution margin ratio</t>
  </si>
  <si>
    <t xml:space="preserve">Break-even sales (SAR / month)</t>
  </si>
  <si>
    <t xml:space="preserve">Margin of safety (SAR)</t>
  </si>
  <si>
    <t xml:space="preserve">Margin of safety (%)</t>
  </si>
  <si>
    <t xml:space="preserve">Monthly operating profit (loss)</t>
  </si>
  <si>
    <t xml:space="preserve">Status</t>
  </si>
  <si>
    <t xml:space="preserve">Sensitivity: monthly profit (loss) by variable cost ratio</t>
  </si>
  <si>
    <t xml:space="preserve">Variable cost ratio</t>
  </si>
  <si>
    <t xml:space="preserve">Monthly profit (loss)</t>
  </si>
  <si>
    <t xml:space="preserve">Variable cost ratio at which monthly profit is zero</t>
  </si>
  <si>
    <t xml:space="preserve">About three points of extra purchase cost (79.5% to 82.4%) wipe out the monthly profit.</t>
  </si>
  <si>
    <t xml:space="preserve">Chart data</t>
  </si>
  <si>
    <t xml:space="preserve">Monthly sales</t>
  </si>
  <si>
    <t xml:space="preserve">Fixed costs</t>
  </si>
  <si>
    <t xml:space="preserve">Total costs</t>
  </si>
  <si>
    <t xml:space="preserve">Model to books reconciliation - FY 2026</t>
  </si>
  <si>
    <t xml:space="preserve">Proves the break-even model rebuilds the operating income Odoo reports.</t>
  </si>
  <si>
    <t xml:space="preserve">Explanation</t>
  </si>
  <si>
    <t xml:space="preserve">Model operating profit x 12</t>
  </si>
  <si>
    <t xml:space="preserve">At the books variable cost ratio</t>
  </si>
  <si>
    <t xml:space="preserve">+ Rental income</t>
  </si>
  <si>
    <t xml:space="preserve">Revenue outside product sales</t>
  </si>
  <si>
    <t xml:space="preserve">+ Full depreciation in the model</t>
  </si>
  <si>
    <t xml:space="preserve">Odoo books depreciation below operating income</t>
  </si>
  <si>
    <t xml:space="preserve">- Doubtful debts expense</t>
  </si>
  <si>
    <t xml:space="preserve">In Odoo operating expenses, non-recurring</t>
  </si>
  <si>
    <t xml:space="preserve">- Loss on asset revaluation</t>
  </si>
  <si>
    <t xml:space="preserve">- Zakat expense</t>
  </si>
  <si>
    <t xml:space="preserve">In Odoo operating expenses</t>
  </si>
  <si>
    <t xml:space="preserve">Operating income per the model</t>
  </si>
  <si>
    <t xml:space="preserve">Operating income per Odoo</t>
  </si>
  <si>
    <t xml:space="preserve">Profit and Loss report, 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</si>
</sst>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0\x"/>
    <numFmt numFmtId="167" formatCode="0.0%;\(0.0%\);\-"/>
    <numFmt numFmtId="168" formatCode="0&quot; days&quot;"/>
    <numFmt numFmtId="169" formatCode="0.0000%"/>
    <numFmt numFmtId="170" formatCode="0.00%"/>
    <numFmt numFmtId="171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E8EE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E8EE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Break-even (SAR /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'Break-even'!B35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'Break-even'!$A$36:$A$45</c:f>
              <c:strCache>
                <c:ptCount val="10"/>
                <c:pt idx="0">
                  <c:v>0</c:v>
                </c:pt>
                <c:pt idx="1">
                  <c:v>100,000</c:v>
                </c:pt>
                <c:pt idx="2">
                  <c:v>200,000</c:v>
                </c:pt>
                <c:pt idx="3">
                  <c:v>300,000</c:v>
                </c:pt>
                <c:pt idx="4">
                  <c:v>400,000</c:v>
                </c:pt>
                <c:pt idx="5">
                  <c:v>500,000</c:v>
                </c:pt>
                <c:pt idx="6">
                  <c:v>600,000</c:v>
                </c:pt>
                <c:pt idx="7">
                  <c:v>700,000</c:v>
                </c:pt>
                <c:pt idx="8">
                  <c:v>800,000</c:v>
                </c:pt>
                <c:pt idx="9">
                  <c:v>900,000</c:v>
                </c:pt>
              </c:strCache>
            </c:strRef>
          </c:cat>
          <c:val>
            <c:numRef>
              <c:f>'Break-even'!$B$36:$B$45</c:f>
              <c:numCache>
                <c:formatCode>#,##0</c:formatCode>
                <c:ptCount val="10"/>
                <c:pt idx="0">
                  <c:v>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'Break-even'!C35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'Break-even'!$A$36:$A$45</c:f>
              <c:strCache>
                <c:ptCount val="10"/>
                <c:pt idx="0">
                  <c:v>0</c:v>
                </c:pt>
                <c:pt idx="1">
                  <c:v>100,000</c:v>
                </c:pt>
                <c:pt idx="2">
                  <c:v>200,000</c:v>
                </c:pt>
                <c:pt idx="3">
                  <c:v>300,000</c:v>
                </c:pt>
                <c:pt idx="4">
                  <c:v>400,000</c:v>
                </c:pt>
                <c:pt idx="5">
                  <c:v>500,000</c:v>
                </c:pt>
                <c:pt idx="6">
                  <c:v>600,000</c:v>
                </c:pt>
                <c:pt idx="7">
                  <c:v>700,000</c:v>
                </c:pt>
                <c:pt idx="8">
                  <c:v>800,000</c:v>
                </c:pt>
                <c:pt idx="9">
                  <c:v>900,000</c:v>
                </c:pt>
              </c:strCache>
            </c:strRef>
          </c:cat>
          <c:val>
            <c:numRef>
              <c:f>'Break-even'!$C$36:$C$45</c:f>
              <c:numCache>
                <c:formatCode>#,##0</c:formatCode>
                <c:ptCount val="10"/>
                <c:pt idx="0">
                  <c:v>135185.116666667</c:v>
                </c:pt>
                <c:pt idx="1">
                  <c:v>135185.116666667</c:v>
                </c:pt>
                <c:pt idx="2">
                  <c:v>135185.116666667</c:v>
                </c:pt>
                <c:pt idx="3">
                  <c:v>135185.116666667</c:v>
                </c:pt>
                <c:pt idx="4">
                  <c:v>135185.116666667</c:v>
                </c:pt>
                <c:pt idx="5">
                  <c:v>135185.116666667</c:v>
                </c:pt>
                <c:pt idx="6">
                  <c:v>135185.116666667</c:v>
                </c:pt>
                <c:pt idx="7">
                  <c:v>135185.116666667</c:v>
                </c:pt>
                <c:pt idx="8">
                  <c:v>135185.116666667</c:v>
                </c:pt>
                <c:pt idx="9">
                  <c:v>135185.116666667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'Break-even'!D35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'Break-even'!$A$36:$A$45</c:f>
              <c:strCache>
                <c:ptCount val="10"/>
                <c:pt idx="0">
                  <c:v>0</c:v>
                </c:pt>
                <c:pt idx="1">
                  <c:v>100,000</c:v>
                </c:pt>
                <c:pt idx="2">
                  <c:v>200,000</c:v>
                </c:pt>
                <c:pt idx="3">
                  <c:v>300,000</c:v>
                </c:pt>
                <c:pt idx="4">
                  <c:v>400,000</c:v>
                </c:pt>
                <c:pt idx="5">
                  <c:v>500,000</c:v>
                </c:pt>
                <c:pt idx="6">
                  <c:v>600,000</c:v>
                </c:pt>
                <c:pt idx="7">
                  <c:v>700,000</c:v>
                </c:pt>
                <c:pt idx="8">
                  <c:v>800,000</c:v>
                </c:pt>
                <c:pt idx="9">
                  <c:v>900,000</c:v>
                </c:pt>
              </c:strCache>
            </c:strRef>
          </c:cat>
          <c:val>
            <c:numRef>
              <c:f>'Break-even'!$D$36:$D$45</c:f>
              <c:numCache>
                <c:formatCode>#,##0</c:formatCode>
                <c:ptCount val="10"/>
                <c:pt idx="0">
                  <c:v>135185.116666667</c:v>
                </c:pt>
                <c:pt idx="1">
                  <c:v>214720.958766222</c:v>
                </c:pt>
                <c:pt idx="2">
                  <c:v>294256.800865777</c:v>
                </c:pt>
                <c:pt idx="3">
                  <c:v>373792.642965333</c:v>
                </c:pt>
                <c:pt idx="4">
                  <c:v>453328.485064888</c:v>
                </c:pt>
                <c:pt idx="5">
                  <c:v>532864.327164443</c:v>
                </c:pt>
                <c:pt idx="6">
                  <c:v>612400.169263999</c:v>
                </c:pt>
                <c:pt idx="7">
                  <c:v>691936.011363554</c:v>
                </c:pt>
                <c:pt idx="8">
                  <c:v>771471.85346311</c:v>
                </c:pt>
                <c:pt idx="9">
                  <c:v>851007.695562665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556450"/>
        <c:axId val="95263567"/>
      </c:lineChart>
      <c:catAx>
        <c:axId val="58556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63567"/>
        <c:crosses val="autoZero"/>
        <c:auto val="1"/>
        <c:lblAlgn val="ctr"/>
        <c:lblOffset val="100"/>
        <c:noMultiLvlLbl val="0"/>
      </c:catAx>
      <c:valAx>
        <c:axId val="95263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56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225720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91630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3" t="s">
        <v>5</v>
      </c>
      <c r="G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715368.46</v>
      </c>
      <c r="D5" s="4" t="s">
        <v>9</v>
      </c>
      <c r="F5" s="4" t="s">
        <v>9</v>
      </c>
      <c r="G5" s="6" t="n">
        <f aca="false">SUMIFS($C$5:$C$51,$D$5:$D$51,"Cash")</f>
        <v>780218.46</v>
      </c>
    </row>
    <row r="6" customFormat="false" ht="15" hidden="false" customHeight="false" outlineLevel="0" collapsed="false">
      <c r="A6" s="4" t="s">
        <v>10</v>
      </c>
      <c r="B6" s="4" t="s">
        <v>11</v>
      </c>
      <c r="C6" s="5" t="n">
        <v>64850</v>
      </c>
      <c r="D6" s="4" t="s">
        <v>9</v>
      </c>
      <c r="F6" s="4" t="s">
        <v>12</v>
      </c>
      <c r="G6" s="6" t="n">
        <f aca="false">SUMIFS($C$5:$C$51,$D$5:$D$51,"Receivables")</f>
        <v>404225</v>
      </c>
    </row>
    <row r="7" customFormat="false" ht="15" hidden="false" customHeight="false" outlineLevel="0" collapsed="false">
      <c r="A7" s="4" t="s">
        <v>13</v>
      </c>
      <c r="B7" s="4" t="s">
        <v>14</v>
      </c>
      <c r="C7" s="5" t="n">
        <v>412850</v>
      </c>
      <c r="D7" s="4" t="s">
        <v>12</v>
      </c>
      <c r="F7" s="4" t="s">
        <v>15</v>
      </c>
      <c r="G7" s="6" t="n">
        <f aca="false">SUMIFS($C$5:$C$51,$D$5:$D$51,"Inventory")</f>
        <v>232011</v>
      </c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v>-8625</v>
      </c>
      <c r="D8" s="4" t="s">
        <v>12</v>
      </c>
      <c r="F8" s="4" t="s">
        <v>18</v>
      </c>
      <c r="G8" s="6" t="n">
        <f aca="false">SUMIFS($C$5:$C$51,$D$5:$D$51,"VAT recoverable")</f>
        <v>355581.04</v>
      </c>
    </row>
    <row r="9" customFormat="false" ht="15" hidden="false" customHeight="false" outlineLevel="0" collapsed="false">
      <c r="A9" s="4" t="s">
        <v>19</v>
      </c>
      <c r="B9" s="4" t="s">
        <v>15</v>
      </c>
      <c r="C9" s="5" t="n">
        <v>232011</v>
      </c>
      <c r="D9" s="4" t="s">
        <v>15</v>
      </c>
      <c r="F9" s="4" t="s">
        <v>20</v>
      </c>
      <c r="G9" s="6" t="n">
        <f aca="false">SUMIFS($C$5:$C$51,$D$5:$D$51,"Prepayments")</f>
        <v>6000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5" t="n">
        <v>22500</v>
      </c>
      <c r="D10" s="4" t="s">
        <v>18</v>
      </c>
      <c r="F10" s="4" t="s">
        <v>23</v>
      </c>
      <c r="G10" s="6" t="n">
        <f aca="false">SUMIFS($C$5:$C$51,$D$5:$D$51,"Fixed assets")</f>
        <v>318838.9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5" t="n">
        <v>332541.04</v>
      </c>
      <c r="D11" s="4" t="s">
        <v>18</v>
      </c>
      <c r="F11" s="4" t="s">
        <v>26</v>
      </c>
      <c r="G11" s="6" t="n">
        <f aca="false">SUMIFS($C$5:$C$51,$D$5:$D$51,"Payables")</f>
        <v>410071.9</v>
      </c>
    </row>
    <row r="12" customFormat="false" ht="15" hidden="false" customHeight="false" outlineLevel="0" collapsed="false">
      <c r="A12" s="4" t="s">
        <v>27</v>
      </c>
      <c r="B12" s="4" t="s">
        <v>28</v>
      </c>
      <c r="C12" s="5" t="n">
        <v>540</v>
      </c>
      <c r="D12" s="4" t="s">
        <v>18</v>
      </c>
      <c r="F12" s="4" t="s">
        <v>29</v>
      </c>
      <c r="G12" s="6" t="n">
        <f aca="false">SUMIFS($C$5:$C$51,$D$5:$D$51,"Output VAT")</f>
        <v>357540</v>
      </c>
    </row>
    <row r="13" customFormat="false" ht="15" hidden="false" customHeight="false" outlineLevel="0" collapsed="false">
      <c r="A13" s="4" t="s">
        <v>30</v>
      </c>
      <c r="B13" s="4" t="s">
        <v>31</v>
      </c>
      <c r="C13" s="5" t="n">
        <v>6000</v>
      </c>
      <c r="D13" s="4" t="s">
        <v>20</v>
      </c>
      <c r="F13" s="4" t="s">
        <v>32</v>
      </c>
      <c r="G13" s="6" t="n">
        <f aca="false">SUMIFS($C$5:$C$51,$D$5:$D$51,"Zakat payable")</f>
        <v>26267.85</v>
      </c>
    </row>
    <row r="14" customFormat="false" ht="15" hidden="false" customHeight="false" outlineLevel="0" collapsed="false">
      <c r="A14" s="4" t="s">
        <v>33</v>
      </c>
      <c r="B14" s="4" t="s">
        <v>34</v>
      </c>
      <c r="C14" s="5" t="n">
        <v>68000</v>
      </c>
      <c r="D14" s="4" t="s">
        <v>23</v>
      </c>
      <c r="F14" s="4" t="s">
        <v>35</v>
      </c>
      <c r="G14" s="6" t="n">
        <f aca="false">SUMIFS($C$5:$C$51,$D$5:$D$51,"Capital")</f>
        <v>1000000</v>
      </c>
    </row>
    <row r="15" customFormat="false" ht="15" hidden="false" customHeight="false" outlineLevel="0" collapsed="false">
      <c r="A15" s="4" t="s">
        <v>36</v>
      </c>
      <c r="B15" s="4" t="s">
        <v>37</v>
      </c>
      <c r="C15" s="5" t="n">
        <v>15000</v>
      </c>
      <c r="D15" s="4" t="s">
        <v>23</v>
      </c>
      <c r="F15" s="4" t="s">
        <v>38</v>
      </c>
      <c r="G15" s="6" t="n">
        <f aca="false">SUMIFS($C$5:$C$51,$D$5:$D$51,"Sales")</f>
        <v>9221000</v>
      </c>
    </row>
    <row r="16" customFormat="false" ht="15" hidden="false" customHeight="false" outlineLevel="0" collapsed="false">
      <c r="A16" s="4" t="s">
        <v>39</v>
      </c>
      <c r="B16" s="4" t="s">
        <v>40</v>
      </c>
      <c r="C16" s="5" t="n">
        <v>255000</v>
      </c>
      <c r="D16" s="4" t="s">
        <v>23</v>
      </c>
      <c r="F16" s="4" t="s">
        <v>41</v>
      </c>
      <c r="G16" s="6" t="n">
        <f aca="false">SUMIFS($C$5:$C$51,$D$5:$D$51,"Other revenue")</f>
        <v>24000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5" t="n">
        <v>-16049.99</v>
      </c>
      <c r="D17" s="4" t="s">
        <v>23</v>
      </c>
      <c r="F17" s="4" t="s">
        <v>44</v>
      </c>
      <c r="G17" s="6" t="n">
        <f aca="false">SUMIFS($C$5:$C$51,$D$5:$D$51,"COGS")</f>
        <v>7334000</v>
      </c>
    </row>
    <row r="18" customFormat="false" ht="15" hidden="false" customHeight="false" outlineLevel="0" collapsed="false">
      <c r="A18" s="4" t="s">
        <v>45</v>
      </c>
      <c r="B18" s="4" t="s">
        <v>46</v>
      </c>
      <c r="C18" s="5" t="n">
        <v>-2219.44</v>
      </c>
      <c r="D18" s="4" t="s">
        <v>23</v>
      </c>
      <c r="F18" s="4" t="s">
        <v>47</v>
      </c>
      <c r="G18" s="6" t="n">
        <f aca="false">SUMIFS($C$5:$C$51,$D$5:$D$51,"Salaries")</f>
        <v>1110450</v>
      </c>
    </row>
    <row r="19" customFormat="false" ht="15" hidden="false" customHeight="false" outlineLevel="0" collapsed="false">
      <c r="A19" s="4" t="s">
        <v>48</v>
      </c>
      <c r="B19" s="4" t="s">
        <v>49</v>
      </c>
      <c r="C19" s="5" t="n">
        <v>-891.67</v>
      </c>
      <c r="D19" s="4" t="s">
        <v>23</v>
      </c>
      <c r="F19" s="4" t="s">
        <v>50</v>
      </c>
      <c r="G19" s="6" t="n">
        <f aca="false">SUMIFS($C$5:$C$51,$D$5:$D$51,"GOSI")</f>
        <v>96926.4</v>
      </c>
    </row>
    <row r="20" customFormat="false" ht="15" hidden="false" customHeight="false" outlineLevel="0" collapsed="false">
      <c r="A20" s="4" t="s">
        <v>51</v>
      </c>
      <c r="B20" s="4" t="s">
        <v>52</v>
      </c>
      <c r="C20" s="5" t="n">
        <v>395600</v>
      </c>
      <c r="D20" s="4" t="s">
        <v>26</v>
      </c>
      <c r="F20" s="4" t="s">
        <v>53</v>
      </c>
      <c r="G20" s="6" t="n">
        <f aca="false">SUMIFS($C$5:$C$51,$D$5:$D$51,"Rent")</f>
        <v>166000</v>
      </c>
    </row>
    <row r="21" customFormat="false" ht="15" hidden="false" customHeight="false" outlineLevel="0" collapsed="false">
      <c r="A21" s="4" t="s">
        <v>54</v>
      </c>
      <c r="B21" s="4" t="s">
        <v>55</v>
      </c>
      <c r="C21" s="5" t="n">
        <v>14471.9</v>
      </c>
      <c r="D21" s="4" t="s">
        <v>26</v>
      </c>
      <c r="F21" s="4" t="s">
        <v>56</v>
      </c>
      <c r="G21" s="6" t="n">
        <f aca="false">SUMIFS($C$5:$C$51,$D$5:$D$51,"Utilities")</f>
        <v>48000</v>
      </c>
    </row>
    <row r="22" customFormat="false" ht="15" hidden="false" customHeight="false" outlineLevel="0" collapsed="false">
      <c r="A22" s="4" t="s">
        <v>57</v>
      </c>
      <c r="B22" s="4" t="s">
        <v>29</v>
      </c>
      <c r="C22" s="5" t="n">
        <v>357540</v>
      </c>
      <c r="D22" s="4" t="s">
        <v>29</v>
      </c>
      <c r="F22" s="4" t="s">
        <v>58</v>
      </c>
      <c r="G22" s="6" t="n">
        <f aca="false">SUMIFS($C$5:$C$51,$D$5:$D$51,"Insurance")</f>
        <v>37000</v>
      </c>
    </row>
    <row r="23" customFormat="false" ht="15" hidden="false" customHeight="false" outlineLevel="0" collapsed="false">
      <c r="A23" s="4" t="s">
        <v>59</v>
      </c>
      <c r="B23" s="4" t="s">
        <v>32</v>
      </c>
      <c r="C23" s="5" t="n">
        <v>26267.85</v>
      </c>
      <c r="D23" s="4" t="s">
        <v>32</v>
      </c>
      <c r="F23" s="4" t="s">
        <v>60</v>
      </c>
      <c r="G23" s="6" t="n">
        <f aca="false">SUMIFS($C$5:$C$51,$D$5:$D$51,"Vehicle rental")</f>
        <v>87500</v>
      </c>
    </row>
    <row r="24" customFormat="false" ht="15" hidden="false" customHeight="false" outlineLevel="0" collapsed="false">
      <c r="A24" s="4" t="s">
        <v>61</v>
      </c>
      <c r="B24" s="4" t="s">
        <v>62</v>
      </c>
      <c r="C24" s="5" t="n">
        <v>1000000</v>
      </c>
      <c r="D24" s="4" t="s">
        <v>35</v>
      </c>
      <c r="F24" s="4" t="s">
        <v>63</v>
      </c>
      <c r="G24" s="6" t="n">
        <f aca="false">SUMIFS($C$5:$C$51,$D$5:$D$51,"Other opex")</f>
        <v>11845</v>
      </c>
    </row>
    <row r="25" customFormat="false" ht="15" hidden="false" customHeight="false" outlineLevel="0" collapsed="false">
      <c r="A25" s="4" t="s">
        <v>64</v>
      </c>
      <c r="B25" s="4" t="s">
        <v>65</v>
      </c>
      <c r="C25" s="5" t="n">
        <v>9221000</v>
      </c>
      <c r="D25" s="4" t="s">
        <v>38</v>
      </c>
      <c r="F25" s="4" t="s">
        <v>66</v>
      </c>
      <c r="G25" s="6" t="n">
        <f aca="false">SUMIFS($C$5:$C$51,$D$5:$D$51,"Non-recurring")</f>
        <v>15625</v>
      </c>
    </row>
    <row r="26" customFormat="false" ht="15" hidden="false" customHeight="false" outlineLevel="0" collapsed="false">
      <c r="A26" s="4" t="s">
        <v>67</v>
      </c>
      <c r="B26" s="4" t="s">
        <v>68</v>
      </c>
      <c r="C26" s="5" t="n">
        <v>24000</v>
      </c>
      <c r="D26" s="4" t="s">
        <v>41</v>
      </c>
      <c r="F26" s="4" t="s">
        <v>69</v>
      </c>
      <c r="G26" s="6" t="n">
        <f aca="false">SUMIFS($C$5:$C$51,$D$5:$D$51,"Zakat")</f>
        <v>26267.85</v>
      </c>
    </row>
    <row r="27" customFormat="false" ht="15" hidden="false" customHeight="false" outlineLevel="0" collapsed="false">
      <c r="A27" s="4" t="s">
        <v>70</v>
      </c>
      <c r="B27" s="4" t="s">
        <v>71</v>
      </c>
      <c r="C27" s="5" t="n">
        <v>7334000</v>
      </c>
      <c r="D27" s="4" t="s">
        <v>44</v>
      </c>
      <c r="F27" s="4" t="s">
        <v>72</v>
      </c>
      <c r="G27" s="6" t="n">
        <f aca="false">SUMIFS($C$5:$C$51,$D$5:$D$51,"Other income")</f>
        <v>2770</v>
      </c>
    </row>
    <row r="28" customFormat="false" ht="15" hidden="false" customHeight="false" outlineLevel="0" collapsed="false">
      <c r="A28" s="4" t="s">
        <v>73</v>
      </c>
      <c r="B28" s="4" t="s">
        <v>74</v>
      </c>
      <c r="C28" s="5" t="n">
        <v>805500</v>
      </c>
      <c r="D28" s="4" t="s">
        <v>47</v>
      </c>
      <c r="F28" s="4" t="s">
        <v>75</v>
      </c>
      <c r="G28" s="6" t="n">
        <f aca="false">SUMIFS($C$5:$C$51,$D$5:$D$51,"Gain on disposal")</f>
        <v>8240</v>
      </c>
    </row>
    <row r="29" customFormat="false" ht="15" hidden="false" customHeight="false" outlineLevel="0" collapsed="false">
      <c r="A29" s="4" t="s">
        <v>76</v>
      </c>
      <c r="B29" s="4" t="s">
        <v>77</v>
      </c>
      <c r="C29" s="5" t="n">
        <v>201750</v>
      </c>
      <c r="D29" s="4" t="s">
        <v>47</v>
      </c>
      <c r="F29" s="4" t="s">
        <v>78</v>
      </c>
      <c r="G29" s="6" t="n">
        <f aca="false">SUMIFS($C$5:$C$51,$D$5:$D$51,"Depreciation")</f>
        <v>19401.1</v>
      </c>
    </row>
    <row r="30" customFormat="false" ht="15" hidden="false" customHeight="false" outlineLevel="0" collapsed="false">
      <c r="A30" s="4" t="s">
        <v>79</v>
      </c>
      <c r="B30" s="4" t="s">
        <v>80</v>
      </c>
      <c r="C30" s="5" t="n">
        <v>52800</v>
      </c>
      <c r="D30" s="4" t="s">
        <v>47</v>
      </c>
      <c r="G30" s="4"/>
    </row>
    <row r="31" customFormat="false" ht="15" hidden="false" customHeight="false" outlineLevel="0" collapsed="false">
      <c r="A31" s="4" t="s">
        <v>81</v>
      </c>
      <c r="B31" s="4" t="s">
        <v>82</v>
      </c>
      <c r="C31" s="5" t="n">
        <v>50400</v>
      </c>
      <c r="D31" s="4" t="s">
        <v>47</v>
      </c>
      <c r="F31" s="7" t="s">
        <v>83</v>
      </c>
      <c r="G31" s="8" t="n">
        <f aca="false">SUM(G5:G10)</f>
        <v>2096874.4</v>
      </c>
    </row>
    <row r="32" customFormat="false" ht="15" hidden="false" customHeight="false" outlineLevel="0" collapsed="false">
      <c r="A32" s="4" t="s">
        <v>84</v>
      </c>
      <c r="B32" s="4" t="s">
        <v>85</v>
      </c>
      <c r="C32" s="5" t="n">
        <v>96926.4</v>
      </c>
      <c r="D32" s="4" t="s">
        <v>50</v>
      </c>
      <c r="F32" s="7" t="s">
        <v>86</v>
      </c>
      <c r="G32" s="8" t="n">
        <f aca="false">SUM(G11:G13)</f>
        <v>793879.75</v>
      </c>
    </row>
    <row r="33" customFormat="false" ht="15" hidden="false" customHeight="false" outlineLevel="0" collapsed="false">
      <c r="A33" s="4" t="s">
        <v>87</v>
      </c>
      <c r="B33" s="4" t="s">
        <v>88</v>
      </c>
      <c r="C33" s="5" t="n">
        <v>166000</v>
      </c>
      <c r="D33" s="4" t="s">
        <v>53</v>
      </c>
      <c r="F33" s="7" t="s">
        <v>89</v>
      </c>
      <c r="G33" s="8" t="n">
        <f aca="false">Data!$G$15+Data!$G$16+Data!$G$27+Data!$G$28-Data!$G$17-SUM(G18:G26)-Data!$G$29</f>
        <v>302994.65</v>
      </c>
    </row>
    <row r="34" customFormat="false" ht="15" hidden="false" customHeight="false" outlineLevel="0" collapsed="false">
      <c r="A34" s="4" t="s">
        <v>90</v>
      </c>
      <c r="B34" s="4" t="s">
        <v>91</v>
      </c>
      <c r="C34" s="5" t="n">
        <v>48000</v>
      </c>
      <c r="D34" s="4" t="s">
        <v>56</v>
      </c>
      <c r="F34" s="7" t="s">
        <v>92</v>
      </c>
      <c r="G34" s="8" t="n">
        <f aca="false">ROUND(Data!$G$31-Data!$G$32-Data!$G$14-Data!$G$33,2)</f>
        <v>0</v>
      </c>
    </row>
    <row r="35" customFormat="false" ht="15" hidden="false" customHeight="false" outlineLevel="0" collapsed="false">
      <c r="A35" s="4" t="s">
        <v>93</v>
      </c>
      <c r="B35" s="4" t="s">
        <v>58</v>
      </c>
      <c r="C35" s="5" t="n">
        <v>37000</v>
      </c>
      <c r="D35" s="4" t="s">
        <v>58</v>
      </c>
    </row>
    <row r="36" customFormat="false" ht="15" hidden="false" customHeight="false" outlineLevel="0" collapsed="false">
      <c r="A36" s="4" t="s">
        <v>94</v>
      </c>
      <c r="B36" s="4" t="s">
        <v>60</v>
      </c>
      <c r="C36" s="5" t="n">
        <v>87500</v>
      </c>
      <c r="D36" s="4" t="s">
        <v>60</v>
      </c>
    </row>
    <row r="37" customFormat="false" ht="15" hidden="false" customHeight="false" outlineLevel="0" collapsed="false">
      <c r="A37" s="4" t="s">
        <v>95</v>
      </c>
      <c r="B37" s="4" t="s">
        <v>96</v>
      </c>
      <c r="C37" s="5" t="n">
        <v>120</v>
      </c>
      <c r="D37" s="4" t="s">
        <v>63</v>
      </c>
    </row>
    <row r="38" customFormat="false" ht="15" hidden="false" customHeight="false" outlineLevel="0" collapsed="false">
      <c r="A38" s="4" t="s">
        <v>97</v>
      </c>
      <c r="B38" s="4" t="s">
        <v>98</v>
      </c>
      <c r="C38" s="5" t="n">
        <v>8400</v>
      </c>
      <c r="D38" s="4" t="s">
        <v>63</v>
      </c>
    </row>
    <row r="39" customFormat="false" ht="15" hidden="false" customHeight="false" outlineLevel="0" collapsed="false">
      <c r="A39" s="4" t="s">
        <v>99</v>
      </c>
      <c r="B39" s="4" t="s">
        <v>100</v>
      </c>
      <c r="C39" s="5" t="n">
        <v>800</v>
      </c>
      <c r="D39" s="4" t="s">
        <v>63</v>
      </c>
    </row>
    <row r="40" customFormat="false" ht="15" hidden="false" customHeight="false" outlineLevel="0" collapsed="false">
      <c r="A40" s="4" t="s">
        <v>101</v>
      </c>
      <c r="B40" s="4" t="s">
        <v>102</v>
      </c>
      <c r="C40" s="5" t="n">
        <v>150</v>
      </c>
      <c r="D40" s="4" t="s">
        <v>63</v>
      </c>
    </row>
    <row r="41" customFormat="false" ht="15" hidden="false" customHeight="false" outlineLevel="0" collapsed="false">
      <c r="A41" s="4" t="s">
        <v>103</v>
      </c>
      <c r="B41" s="4" t="s">
        <v>104</v>
      </c>
      <c r="C41" s="5" t="n">
        <v>500</v>
      </c>
      <c r="D41" s="4" t="s">
        <v>63</v>
      </c>
    </row>
    <row r="42" customFormat="false" ht="15" hidden="false" customHeight="false" outlineLevel="0" collapsed="false">
      <c r="A42" s="4" t="s">
        <v>105</v>
      </c>
      <c r="B42" s="4" t="s">
        <v>106</v>
      </c>
      <c r="C42" s="5" t="n">
        <v>1875</v>
      </c>
      <c r="D42" s="4" t="s">
        <v>63</v>
      </c>
    </row>
    <row r="43" customFormat="false" ht="15" hidden="false" customHeight="false" outlineLevel="0" collapsed="false">
      <c r="A43" s="4" t="s">
        <v>107</v>
      </c>
      <c r="B43" s="4" t="s">
        <v>108</v>
      </c>
      <c r="C43" s="5" t="n">
        <v>8625</v>
      </c>
      <c r="D43" s="4" t="s">
        <v>66</v>
      </c>
    </row>
    <row r="44" customFormat="false" ht="15" hidden="false" customHeight="false" outlineLevel="0" collapsed="false">
      <c r="A44" s="4" t="s">
        <v>109</v>
      </c>
      <c r="B44" s="4" t="s">
        <v>110</v>
      </c>
      <c r="C44" s="5" t="n">
        <v>7000</v>
      </c>
      <c r="D44" s="4" t="s">
        <v>66</v>
      </c>
    </row>
    <row r="45" customFormat="false" ht="15" hidden="false" customHeight="false" outlineLevel="0" collapsed="false">
      <c r="A45" s="4" t="s">
        <v>111</v>
      </c>
      <c r="B45" s="4" t="s">
        <v>112</v>
      </c>
      <c r="C45" s="5" t="n">
        <v>26267.85</v>
      </c>
      <c r="D45" s="4" t="s">
        <v>69</v>
      </c>
    </row>
    <row r="46" customFormat="false" ht="15" hidden="false" customHeight="false" outlineLevel="0" collapsed="false">
      <c r="A46" s="4" t="s">
        <v>113</v>
      </c>
      <c r="B46" s="4" t="s">
        <v>114</v>
      </c>
      <c r="C46" s="5" t="n">
        <v>2500</v>
      </c>
      <c r="D46" s="4" t="s">
        <v>72</v>
      </c>
    </row>
    <row r="47" customFormat="false" ht="15" hidden="false" customHeight="false" outlineLevel="0" collapsed="false">
      <c r="A47" s="4" t="s">
        <v>115</v>
      </c>
      <c r="B47" s="4" t="s">
        <v>116</v>
      </c>
      <c r="C47" s="5" t="n">
        <v>270</v>
      </c>
      <c r="D47" s="4" t="s">
        <v>72</v>
      </c>
    </row>
    <row r="48" customFormat="false" ht="15" hidden="false" customHeight="false" outlineLevel="0" collapsed="false">
      <c r="A48" s="4" t="s">
        <v>117</v>
      </c>
      <c r="B48" s="4" t="s">
        <v>118</v>
      </c>
      <c r="C48" s="5" t="n">
        <v>8240</v>
      </c>
      <c r="D48" s="4" t="s">
        <v>75</v>
      </c>
    </row>
    <row r="49" customFormat="false" ht="15" hidden="false" customHeight="false" outlineLevel="0" collapsed="false">
      <c r="A49" s="4" t="s">
        <v>119</v>
      </c>
      <c r="B49" s="4" t="s">
        <v>120</v>
      </c>
      <c r="C49" s="5" t="n">
        <v>2219.44</v>
      </c>
      <c r="D49" s="4" t="s">
        <v>78</v>
      </c>
    </row>
    <row r="50" customFormat="false" ht="15" hidden="false" customHeight="false" outlineLevel="0" collapsed="false">
      <c r="A50" s="4" t="s">
        <v>121</v>
      </c>
      <c r="B50" s="4" t="s">
        <v>122</v>
      </c>
      <c r="C50" s="5" t="n">
        <v>891.67</v>
      </c>
      <c r="D50" s="4" t="s">
        <v>78</v>
      </c>
    </row>
    <row r="51" customFormat="false" ht="15" hidden="false" customHeight="false" outlineLevel="0" collapsed="false">
      <c r="A51" s="4" t="s">
        <v>123</v>
      </c>
      <c r="B51" s="4" t="s">
        <v>124</v>
      </c>
      <c r="C51" s="5" t="n">
        <v>16289.99</v>
      </c>
      <c r="D51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6" min="6" style="0" width="30"/>
    <col collapsed="false" customWidth="true" hidden="false" outlineLevel="0" max="7" min="7" style="0" width="16"/>
  </cols>
  <sheetData>
    <row r="4" customFormat="false" ht="15" hidden="false" customHeight="false" outlineLevel="0" collapsed="false">
      <c r="F4" s="3" t="s">
        <v>125</v>
      </c>
      <c r="G4" s="3" t="s">
        <v>126</v>
      </c>
    </row>
    <row r="5" customFormat="false" ht="15" hidden="false" customHeight="false" outlineLevel="0" collapsed="false">
      <c r="A5" s="9" t="s">
        <v>127</v>
      </c>
      <c r="B5" s="10"/>
      <c r="C5" s="10"/>
      <c r="D5" s="10"/>
      <c r="F5" s="4" t="s">
        <v>128</v>
      </c>
      <c r="G5" s="11" t="n">
        <f aca="false">Data!$G$15+Data!$G$16</f>
        <v>9245000</v>
      </c>
    </row>
    <row r="6" customFormat="false" ht="15" hidden="false" customHeight="false" outlineLevel="0" collapsed="false">
      <c r="A6" s="4" t="s">
        <v>129</v>
      </c>
      <c r="B6" s="12" t="n">
        <f aca="false">(Data!$G$31-Data!$G$10)/Data!$G$32</f>
        <v>2.23967861631437</v>
      </c>
      <c r="C6" s="4" t="s">
        <v>130</v>
      </c>
      <c r="D6" s="4" t="s">
        <v>131</v>
      </c>
      <c r="F6" s="4" t="s">
        <v>132</v>
      </c>
      <c r="G6" s="11" t="n">
        <f aca="false">G5-Data!$G$17</f>
        <v>1911000</v>
      </c>
    </row>
    <row r="7" customFormat="false" ht="15" hidden="false" customHeight="false" outlineLevel="0" collapsed="false">
      <c r="A7" s="4" t="s">
        <v>133</v>
      </c>
      <c r="B7" s="12" t="n">
        <f aca="false">(Data!$G$5+Data!$G$6)/Data!$G$32</f>
        <v>1.49196834911081</v>
      </c>
      <c r="C7" s="4" t="s">
        <v>134</v>
      </c>
      <c r="D7" s="4" t="s">
        <v>135</v>
      </c>
      <c r="F7" s="4" t="s">
        <v>136</v>
      </c>
      <c r="G7" s="11" t="n">
        <f aca="false">SUM(Data!$G$18:$G$25)</f>
        <v>1573346.4</v>
      </c>
    </row>
    <row r="8" customFormat="false" ht="15" hidden="false" customHeight="false" outlineLevel="0" collapsed="false">
      <c r="A8" s="4" t="s">
        <v>137</v>
      </c>
      <c r="B8" s="12" t="n">
        <f aca="false">Data!$G$5/Data!$G$32</f>
        <v>0.982791738925196</v>
      </c>
      <c r="C8" s="4" t="s">
        <v>138</v>
      </c>
      <c r="D8" s="4" t="s">
        <v>139</v>
      </c>
      <c r="F8" s="4" t="s">
        <v>140</v>
      </c>
      <c r="G8" s="6" t="n">
        <f aca="false">G6-G7</f>
        <v>337653.6</v>
      </c>
    </row>
    <row r="9" customFormat="false" ht="15" hidden="false" customHeight="false" outlineLevel="0" collapsed="false">
      <c r="A9" s="9" t="s">
        <v>141</v>
      </c>
      <c r="B9" s="10"/>
      <c r="C9" s="10"/>
      <c r="D9" s="10"/>
      <c r="F9" s="4" t="s">
        <v>142</v>
      </c>
      <c r="G9" s="11" t="n">
        <f aca="false">Data!$C$7</f>
        <v>412850</v>
      </c>
    </row>
    <row r="10" customFormat="false" ht="15" hidden="false" customHeight="false" outlineLevel="0" collapsed="false">
      <c r="A10" s="4" t="s">
        <v>143</v>
      </c>
      <c r="B10" s="13" t="n">
        <f aca="false">(Data!$G$15+Data!$G$16-Data!$G$17)/(Data!$G$15+Data!$G$16)</f>
        <v>0.206706327744727</v>
      </c>
      <c r="C10" s="4" t="s">
        <v>144</v>
      </c>
      <c r="D10" s="4" t="s">
        <v>145</v>
      </c>
    </row>
    <row r="11" customFormat="false" ht="15" hidden="false" customHeight="false" outlineLevel="0" collapsed="false">
      <c r="A11" s="4" t="s">
        <v>146</v>
      </c>
      <c r="B11" s="13" t="n">
        <f aca="false">G8/G5</f>
        <v>0.036522833964305</v>
      </c>
      <c r="C11" s="4" t="s">
        <v>147</v>
      </c>
      <c r="D11" s="4" t="s">
        <v>148</v>
      </c>
    </row>
    <row r="12" customFormat="false" ht="15" hidden="false" customHeight="false" outlineLevel="0" collapsed="false">
      <c r="A12" s="4" t="s">
        <v>149</v>
      </c>
      <c r="B12" s="13" t="n">
        <f aca="false">Data!$G$33/(Data!$G$15+Data!$G$16)</f>
        <v>0.032773893996755</v>
      </c>
      <c r="C12" s="4" t="s">
        <v>150</v>
      </c>
      <c r="D12" s="4" t="s">
        <v>148</v>
      </c>
    </row>
    <row r="13" customFormat="false" ht="15" hidden="false" customHeight="false" outlineLevel="0" collapsed="false">
      <c r="A13" s="4" t="s">
        <v>151</v>
      </c>
      <c r="B13" s="13" t="n">
        <f aca="false">G7/G6</f>
        <v>0.823310518053375</v>
      </c>
      <c r="C13" s="4" t="s">
        <v>152</v>
      </c>
      <c r="D13" s="4" t="s">
        <v>153</v>
      </c>
    </row>
    <row r="14" customFormat="false" ht="15" hidden="false" customHeight="false" outlineLevel="0" collapsed="false">
      <c r="A14" s="4" t="s">
        <v>154</v>
      </c>
      <c r="B14" s="13" t="n">
        <f aca="false">Data!$G$33/Data!$G$31</f>
        <v>0.144498235087423</v>
      </c>
      <c r="C14" s="4" t="s">
        <v>155</v>
      </c>
      <c r="D14" s="4" t="s">
        <v>135</v>
      </c>
    </row>
    <row r="15" customFormat="false" ht="15" hidden="false" customHeight="false" outlineLevel="0" collapsed="false">
      <c r="A15" s="4" t="s">
        <v>156</v>
      </c>
      <c r="B15" s="13" t="n">
        <f aca="false">Data!$G$33/(Data!$G$14+Data!$G$33)</f>
        <v>0.23253714050169</v>
      </c>
      <c r="C15" s="4" t="s">
        <v>157</v>
      </c>
      <c r="D15" s="4" t="s">
        <v>158</v>
      </c>
    </row>
    <row r="16" customFormat="false" ht="15" hidden="false" customHeight="false" outlineLevel="0" collapsed="false">
      <c r="A16" s="9" t="s">
        <v>159</v>
      </c>
      <c r="B16" s="10"/>
      <c r="C16" s="10"/>
      <c r="D16" s="10"/>
    </row>
    <row r="17" customFormat="false" ht="15" hidden="false" customHeight="false" outlineLevel="0" collapsed="false">
      <c r="A17" s="4" t="s">
        <v>160</v>
      </c>
      <c r="B17" s="12" t="n">
        <f aca="false">(Data!$G$15+Data!$G$16)/Data!$G$31</f>
        <v>4.40894313936972</v>
      </c>
      <c r="C17" s="4" t="s">
        <v>161</v>
      </c>
      <c r="D17" s="4" t="s">
        <v>162</v>
      </c>
    </row>
    <row r="18" customFormat="false" ht="15" hidden="false" customHeight="false" outlineLevel="0" collapsed="false">
      <c r="A18" s="4" t="s">
        <v>163</v>
      </c>
      <c r="B18" s="12" t="n">
        <f aca="false">Data!$G$15/G9</f>
        <v>22.3349884946106</v>
      </c>
      <c r="C18" s="4" t="s">
        <v>164</v>
      </c>
      <c r="D18" s="4" t="s">
        <v>165</v>
      </c>
    </row>
    <row r="19" customFormat="false" ht="15" hidden="false" customHeight="false" outlineLevel="0" collapsed="false">
      <c r="A19" s="4" t="s">
        <v>166</v>
      </c>
      <c r="B19" s="14" t="n">
        <f aca="false">365/B18</f>
        <v>16.3420724433359</v>
      </c>
      <c r="C19" s="4" t="s">
        <v>167</v>
      </c>
      <c r="D19" s="4" t="s">
        <v>168</v>
      </c>
    </row>
    <row r="20" customFormat="false" ht="15" hidden="false" customHeight="false" outlineLevel="0" collapsed="false">
      <c r="A20" s="9" t="s">
        <v>169</v>
      </c>
      <c r="B20" s="10"/>
      <c r="C20" s="10"/>
      <c r="D20" s="10"/>
    </row>
    <row r="21" customFormat="false" ht="15" hidden="false" customHeight="false" outlineLevel="0" collapsed="false">
      <c r="A21" s="4" t="s">
        <v>170</v>
      </c>
      <c r="B21" s="13" t="n">
        <f aca="false">Data!$G$32/Data!$G$31</f>
        <v>0.37860147942099</v>
      </c>
      <c r="C21" s="4" t="s">
        <v>171</v>
      </c>
      <c r="D21" s="4" t="s">
        <v>172</v>
      </c>
    </row>
    <row r="22" customFormat="false" ht="15" hidden="false" customHeight="false" outlineLevel="0" collapsed="false">
      <c r="A22" s="4" t="s">
        <v>173</v>
      </c>
      <c r="B22" s="12" t="n">
        <f aca="false">Data!$G$32/(Data!$G$14+Data!$G$33)</f>
        <v>0.609273223032804</v>
      </c>
      <c r="C22" s="4" t="s">
        <v>174</v>
      </c>
      <c r="D22" s="4" t="s">
        <v>175</v>
      </c>
    </row>
    <row r="24" customFormat="false" ht="15" hidden="false" customHeight="false" outlineLevel="0" collapsed="false">
      <c r="A24" s="1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3" t="s">
        <v>179</v>
      </c>
      <c r="B4" s="3" t="s">
        <v>126</v>
      </c>
      <c r="C4" s="3" t="s">
        <v>180</v>
      </c>
    </row>
    <row r="5" customFormat="false" ht="15" hidden="false" customHeight="false" outlineLevel="0" collapsed="false">
      <c r="A5" s="9" t="s">
        <v>181</v>
      </c>
      <c r="B5" s="10"/>
      <c r="C5" s="10"/>
    </row>
    <row r="6" customFormat="false" ht="15" hidden="false" customHeight="false" outlineLevel="0" collapsed="false">
      <c r="A6" s="4" t="s">
        <v>89</v>
      </c>
      <c r="B6" s="11" t="n">
        <f aca="false">Data!$G$33</f>
        <v>302994.65</v>
      </c>
      <c r="C6" s="16" t="s">
        <v>182</v>
      </c>
    </row>
    <row r="7" customFormat="false" ht="15" hidden="false" customHeight="false" outlineLevel="0" collapsed="false">
      <c r="A7" s="4" t="s">
        <v>78</v>
      </c>
      <c r="B7" s="11" t="n">
        <f aca="false">Data!$G$29</f>
        <v>19401.1</v>
      </c>
      <c r="C7" s="16" t="s">
        <v>183</v>
      </c>
    </row>
    <row r="8" customFormat="false" ht="15" hidden="false" customHeight="false" outlineLevel="0" collapsed="false">
      <c r="A8" s="4" t="s">
        <v>110</v>
      </c>
      <c r="B8" s="11" t="n">
        <f aca="false">Data!$C$44</f>
        <v>7000</v>
      </c>
      <c r="C8" s="16" t="s">
        <v>183</v>
      </c>
    </row>
    <row r="9" customFormat="false" ht="15" hidden="false" customHeight="false" outlineLevel="0" collapsed="false">
      <c r="A9" s="4" t="s">
        <v>118</v>
      </c>
      <c r="B9" s="11" t="n">
        <f aca="false">-Data!$G$28</f>
        <v>-8240</v>
      </c>
      <c r="C9" s="16" t="s">
        <v>184</v>
      </c>
    </row>
    <row r="10" customFormat="false" ht="15" hidden="false" customHeight="false" outlineLevel="0" collapsed="false">
      <c r="A10" s="4" t="s">
        <v>185</v>
      </c>
      <c r="B10" s="11" t="n">
        <f aca="false">Data!$C$43</f>
        <v>8625</v>
      </c>
      <c r="C10" s="16" t="s">
        <v>183</v>
      </c>
    </row>
    <row r="11" customFormat="false" ht="15" hidden="false" customHeight="false" outlineLevel="0" collapsed="false">
      <c r="A11" s="4" t="s">
        <v>186</v>
      </c>
      <c r="B11" s="11" t="n">
        <f aca="false">Data!$G$13</f>
        <v>26267.85</v>
      </c>
      <c r="C11" s="16" t="s">
        <v>187</v>
      </c>
    </row>
    <row r="12" customFormat="false" ht="15" hidden="false" customHeight="false" outlineLevel="0" collapsed="false">
      <c r="A12" s="4" t="s">
        <v>188</v>
      </c>
      <c r="B12" s="11" t="n">
        <f aca="false">-Data!$C$7</f>
        <v>-412850</v>
      </c>
      <c r="C12" s="16" t="s">
        <v>189</v>
      </c>
    </row>
    <row r="13" customFormat="false" ht="15" hidden="false" customHeight="false" outlineLevel="0" collapsed="false">
      <c r="A13" s="4" t="s">
        <v>190</v>
      </c>
      <c r="B13" s="11" t="n">
        <f aca="false">-Data!$G$7</f>
        <v>-232011</v>
      </c>
      <c r="C13" s="16" t="s">
        <v>189</v>
      </c>
    </row>
    <row r="14" customFormat="false" ht="15" hidden="false" customHeight="false" outlineLevel="0" collapsed="false">
      <c r="A14" s="4" t="s">
        <v>191</v>
      </c>
      <c r="B14" s="11" t="n">
        <f aca="false">-Data!$G$8</f>
        <v>-355581.04</v>
      </c>
      <c r="C14" s="16" t="s">
        <v>189</v>
      </c>
    </row>
    <row r="15" customFormat="false" ht="15" hidden="false" customHeight="false" outlineLevel="0" collapsed="false">
      <c r="A15" s="4" t="s">
        <v>192</v>
      </c>
      <c r="B15" s="11" t="n">
        <f aca="false">-Data!$G$9</f>
        <v>-6000</v>
      </c>
      <c r="C15" s="16" t="s">
        <v>189</v>
      </c>
    </row>
    <row r="16" customFormat="false" ht="15" hidden="false" customHeight="false" outlineLevel="0" collapsed="false">
      <c r="A16" s="4" t="s">
        <v>193</v>
      </c>
      <c r="B16" s="11" t="n">
        <f aca="false">Data!$G$11</f>
        <v>410071.9</v>
      </c>
      <c r="C16" s="16" t="s">
        <v>189</v>
      </c>
    </row>
    <row r="17" customFormat="false" ht="15" hidden="false" customHeight="false" outlineLevel="0" collapsed="false">
      <c r="A17" s="4" t="s">
        <v>194</v>
      </c>
      <c r="B17" s="11" t="n">
        <f aca="false">Data!$G$12</f>
        <v>357540</v>
      </c>
      <c r="C17" s="16" t="s">
        <v>189</v>
      </c>
    </row>
    <row r="18" customFormat="false" ht="15" hidden="false" customHeight="false" outlineLevel="0" collapsed="false">
      <c r="A18" s="7" t="s">
        <v>195</v>
      </c>
      <c r="B18" s="17" t="n">
        <f aca="false">SUM(B6:B17)</f>
        <v>117218.46</v>
      </c>
    </row>
    <row r="19" customFormat="false" ht="15" hidden="false" customHeight="false" outlineLevel="0" collapsed="false">
      <c r="A19" s="9" t="s">
        <v>196</v>
      </c>
      <c r="B19" s="10"/>
      <c r="C19" s="10"/>
    </row>
    <row r="20" customFormat="false" ht="15" hidden="false" customHeight="false" outlineLevel="0" collapsed="false">
      <c r="A20" s="4" t="s">
        <v>197</v>
      </c>
      <c r="B20" s="5" t="n">
        <v>-468000</v>
      </c>
      <c r="C20" s="16" t="s">
        <v>198</v>
      </c>
    </row>
    <row r="21" customFormat="false" ht="15" hidden="false" customHeight="false" outlineLevel="0" collapsed="false">
      <c r="A21" s="4" t="s">
        <v>199</v>
      </c>
      <c r="B21" s="5" t="n">
        <v>131000</v>
      </c>
      <c r="C21" s="16" t="s">
        <v>200</v>
      </c>
    </row>
    <row r="22" customFormat="false" ht="15" hidden="false" customHeight="false" outlineLevel="0" collapsed="false">
      <c r="A22" s="7" t="s">
        <v>201</v>
      </c>
      <c r="B22" s="17" t="n">
        <f aca="false">SUM(B20:B21)</f>
        <v>-337000</v>
      </c>
    </row>
    <row r="23" customFormat="false" ht="15" hidden="false" customHeight="false" outlineLevel="0" collapsed="false">
      <c r="A23" s="9" t="s">
        <v>202</v>
      </c>
      <c r="B23" s="10"/>
      <c r="C23" s="10"/>
    </row>
    <row r="24" customFormat="false" ht="15" hidden="false" customHeight="false" outlineLevel="0" collapsed="false">
      <c r="A24" s="4" t="s">
        <v>203</v>
      </c>
      <c r="B24" s="11" t="n">
        <f aca="false">Data!$G$14</f>
        <v>1000000</v>
      </c>
      <c r="C24" s="16" t="s">
        <v>204</v>
      </c>
    </row>
    <row r="25" customFormat="false" ht="15" hidden="false" customHeight="false" outlineLevel="0" collapsed="false">
      <c r="A25" s="7" t="s">
        <v>205</v>
      </c>
      <c r="B25" s="17" t="n">
        <f aca="false">B24</f>
        <v>1000000</v>
      </c>
    </row>
    <row r="26" customFormat="false" ht="15" hidden="false" customHeight="false" outlineLevel="0" collapsed="false">
      <c r="A26" s="7" t="s">
        <v>206</v>
      </c>
      <c r="B26" s="17" t="n">
        <f aca="false">B18+B22+B25</f>
        <v>780218.46</v>
      </c>
    </row>
    <row r="27" customFormat="false" ht="15" hidden="false" customHeight="false" outlineLevel="0" collapsed="false">
      <c r="A27" s="4" t="s">
        <v>207</v>
      </c>
      <c r="B27" s="5" t="n">
        <v>0</v>
      </c>
      <c r="C27" s="16" t="s">
        <v>208</v>
      </c>
    </row>
    <row r="28" customFormat="false" ht="15" hidden="false" customHeight="false" outlineLevel="0" collapsed="false">
      <c r="A28" s="7" t="s">
        <v>209</v>
      </c>
      <c r="B28" s="17" t="n">
        <f aca="false">B26+B27</f>
        <v>780218.46</v>
      </c>
    </row>
    <row r="29" customFormat="false" ht="15" hidden="false" customHeight="false" outlineLevel="0" collapsed="false">
      <c r="A29" s="4" t="s">
        <v>210</v>
      </c>
      <c r="B29" s="11" t="n">
        <f aca="false">Data!$G$5</f>
        <v>780218.46</v>
      </c>
      <c r="C29" s="16" t="s">
        <v>211</v>
      </c>
    </row>
    <row r="30" customFormat="false" ht="15" hidden="false" customHeight="false" outlineLevel="0" collapsed="false">
      <c r="A30" s="7" t="s">
        <v>212</v>
      </c>
      <c r="B30" s="17" t="n">
        <f aca="false">ROUND(B28-B29,2)</f>
        <v>0</v>
      </c>
    </row>
    <row r="33" customFormat="false" ht="15" hidden="false" customHeight="false" outlineLevel="0" collapsed="false">
      <c r="A33" s="15" t="s">
        <v>213</v>
      </c>
    </row>
    <row r="34" customFormat="false" ht="15" hidden="false" customHeight="false" outlineLevel="0" collapsed="false">
      <c r="A34" s="4" t="s">
        <v>214</v>
      </c>
      <c r="B34" s="6" t="n">
        <f aca="false">B21-Data!$G$28</f>
        <v>122760</v>
      </c>
    </row>
    <row r="35" customFormat="false" ht="15" hidden="false" customHeight="false" outlineLevel="0" collapsed="false">
      <c r="A35" s="4" t="s">
        <v>215</v>
      </c>
      <c r="B35" s="6" t="n">
        <f aca="false">-B20-Data!$C$44-B34-Data!$G$29</f>
        <v>318838.9</v>
      </c>
    </row>
    <row r="36" customFormat="false" ht="15" hidden="false" customHeight="false" outlineLevel="0" collapsed="false">
      <c r="A36" s="4" t="s">
        <v>216</v>
      </c>
      <c r="B36" s="11" t="n">
        <f aca="false">Data!$G$10</f>
        <v>318838.9</v>
      </c>
    </row>
    <row r="37" customFormat="false" ht="15" hidden="false" customHeight="false" outlineLevel="0" collapsed="false">
      <c r="A37" s="4" t="s">
        <v>212</v>
      </c>
      <c r="B37" s="6" t="n">
        <f aca="false">ROUND(B35-B36,2)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3" t="s">
        <v>219</v>
      </c>
      <c r="B4" s="3" t="s">
        <v>126</v>
      </c>
      <c r="C4" s="3" t="s">
        <v>220</v>
      </c>
    </row>
    <row r="5" customFormat="false" ht="15" hidden="false" customHeight="false" outlineLevel="0" collapsed="false">
      <c r="A5" s="4" t="s">
        <v>62</v>
      </c>
      <c r="B5" s="11" t="n">
        <f aca="false">Data!$G$14</f>
        <v>1000000</v>
      </c>
      <c r="C5" s="16" t="s">
        <v>221</v>
      </c>
    </row>
    <row r="6" customFormat="false" ht="15" hidden="false" customHeight="false" outlineLevel="0" collapsed="false">
      <c r="A6" s="4" t="s">
        <v>222</v>
      </c>
      <c r="B6" s="11" t="n">
        <f aca="false">Data!$G$33+Data!$G$26</f>
        <v>329262.5</v>
      </c>
      <c r="C6" s="16" t="s">
        <v>221</v>
      </c>
    </row>
    <row r="7" customFormat="false" ht="15" hidden="false" customHeight="false" outlineLevel="0" collapsed="false">
      <c r="A7" s="4" t="s">
        <v>185</v>
      </c>
      <c r="B7" s="11" t="n">
        <f aca="false">-Data!$C$8</f>
        <v>8625</v>
      </c>
      <c r="C7" s="16" t="s">
        <v>223</v>
      </c>
    </row>
    <row r="8" customFormat="false" ht="15" hidden="false" customHeight="false" outlineLevel="0" collapsed="false">
      <c r="A8" s="4" t="s">
        <v>224</v>
      </c>
      <c r="B8" s="11" t="n">
        <f aca="false">-Data!$G$10</f>
        <v>-318838.9</v>
      </c>
      <c r="C8" s="16" t="s">
        <v>225</v>
      </c>
    </row>
    <row r="9" customFormat="false" ht="15" hidden="false" customHeight="false" outlineLevel="0" collapsed="false">
      <c r="A9" s="7" t="s">
        <v>226</v>
      </c>
      <c r="B9" s="6" t="n">
        <f aca="false">SUM(B5:B8)</f>
        <v>1019048.6</v>
      </c>
      <c r="C9" s="16" t="s">
        <v>227</v>
      </c>
    </row>
    <row r="10" customFormat="false" ht="15" hidden="false" customHeight="false" outlineLevel="0" collapsed="false">
      <c r="A10" s="4" t="s">
        <v>228</v>
      </c>
      <c r="B10" s="18" t="n">
        <v>0.025775</v>
      </c>
      <c r="C10" s="16" t="s">
        <v>229</v>
      </c>
    </row>
    <row r="11" customFormat="false" ht="15" hidden="false" customHeight="false" outlineLevel="0" collapsed="false">
      <c r="A11" s="7" t="s">
        <v>230</v>
      </c>
      <c r="B11" s="6" t="n">
        <f aca="false">MAX(B9,B6)*B10</f>
        <v>26265.977665</v>
      </c>
    </row>
    <row r="12" customFormat="false" ht="15" hidden="false" customHeight="false" outlineLevel="0" collapsed="false">
      <c r="A12" s="4" t="s">
        <v>231</v>
      </c>
      <c r="B12" s="11" t="n">
        <f aca="false">Data!$G$26</f>
        <v>26267.85</v>
      </c>
      <c r="C12" s="16" t="s">
        <v>232</v>
      </c>
    </row>
    <row r="13" customFormat="false" ht="15" hidden="false" customHeight="false" outlineLevel="0" collapsed="false">
      <c r="A13" s="4" t="s">
        <v>233</v>
      </c>
      <c r="B13" s="6" t="n">
        <f aca="false">ROUND(B12-B11,2)</f>
        <v>1.87</v>
      </c>
      <c r="C13" s="16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7" min="4" style="0" width="14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  <c r="B4" s="3" t="s">
        <v>238</v>
      </c>
      <c r="C4" s="3" t="s">
        <v>180</v>
      </c>
    </row>
    <row r="5" customFormat="false" ht="15" hidden="false" customHeight="false" outlineLevel="0" collapsed="false">
      <c r="A5" s="4" t="s">
        <v>239</v>
      </c>
      <c r="B5" s="11" t="n">
        <f aca="false">Data!$G$18/12</f>
        <v>92537.5</v>
      </c>
      <c r="C5" s="16" t="s">
        <v>240</v>
      </c>
    </row>
    <row r="6" customFormat="false" ht="15" hidden="false" customHeight="false" outlineLevel="0" collapsed="false">
      <c r="A6" s="4" t="s">
        <v>241</v>
      </c>
      <c r="B6" s="11" t="n">
        <f aca="false">Data!$G$19/12</f>
        <v>8077.2</v>
      </c>
      <c r="C6" s="16" t="s">
        <v>84</v>
      </c>
    </row>
    <row r="7" customFormat="false" ht="15" hidden="false" customHeight="false" outlineLevel="0" collapsed="false">
      <c r="A7" s="4" t="s">
        <v>88</v>
      </c>
      <c r="B7" s="11" t="n">
        <f aca="false">Data!$G$20/12</f>
        <v>13833.3333333333</v>
      </c>
      <c r="C7" s="16" t="s">
        <v>87</v>
      </c>
    </row>
    <row r="8" customFormat="false" ht="15" hidden="false" customHeight="false" outlineLevel="0" collapsed="false">
      <c r="A8" s="4" t="s">
        <v>91</v>
      </c>
      <c r="B8" s="11" t="n">
        <f aca="false">Data!$G$21/12</f>
        <v>4000</v>
      </c>
      <c r="C8" s="16" t="s">
        <v>90</v>
      </c>
    </row>
    <row r="9" customFormat="false" ht="15" hidden="false" customHeight="false" outlineLevel="0" collapsed="false">
      <c r="A9" s="4" t="s">
        <v>58</v>
      </c>
      <c r="B9" s="11" t="n">
        <f aca="false">Data!$G$22/12</f>
        <v>3083.33333333333</v>
      </c>
      <c r="C9" s="16" t="s">
        <v>93</v>
      </c>
    </row>
    <row r="10" customFormat="false" ht="15" hidden="false" customHeight="false" outlineLevel="0" collapsed="false">
      <c r="A10" s="4" t="s">
        <v>60</v>
      </c>
      <c r="B10" s="11" t="n">
        <f aca="false">Data!$G$23/12</f>
        <v>7291.66666666667</v>
      </c>
      <c r="C10" s="16" t="s">
        <v>94</v>
      </c>
    </row>
    <row r="11" customFormat="false" ht="15" hidden="false" customHeight="false" outlineLevel="0" collapsed="false">
      <c r="A11" s="4" t="s">
        <v>242</v>
      </c>
      <c r="B11" s="11" t="n">
        <f aca="false">Data!$G$24/12</f>
        <v>987.083333333333</v>
      </c>
      <c r="C11" s="16" t="s">
        <v>243</v>
      </c>
    </row>
    <row r="12" customFormat="false" ht="15" hidden="false" customHeight="false" outlineLevel="0" collapsed="false">
      <c r="A12" s="4" t="s">
        <v>244</v>
      </c>
      <c r="B12" s="5" t="n">
        <v>5375</v>
      </c>
      <c r="C12" s="16" t="s">
        <v>245</v>
      </c>
    </row>
    <row r="13" customFormat="false" ht="15" hidden="false" customHeight="false" outlineLevel="0" collapsed="false">
      <c r="A13" s="7" t="s">
        <v>246</v>
      </c>
      <c r="B13" s="17" t="n">
        <f aca="false">SUM(B5:B12)</f>
        <v>135185.116666667</v>
      </c>
    </row>
    <row r="15" customFormat="false" ht="15" hidden="false" customHeight="false" outlineLevel="0" collapsed="false">
      <c r="A15" s="3" t="s">
        <v>247</v>
      </c>
      <c r="B15" s="3" t="s">
        <v>248</v>
      </c>
      <c r="C15" s="3" t="s">
        <v>180</v>
      </c>
    </row>
    <row r="16" customFormat="false" ht="15" hidden="false" customHeight="false" outlineLevel="0" collapsed="false">
      <c r="A16" s="0" t="s">
        <v>249</v>
      </c>
      <c r="B16" s="19" t="n">
        <f aca="false">Data!$G$17/Data!$G$15</f>
        <v>0.795358420995554</v>
      </c>
      <c r="C16" s="20" t="s">
        <v>250</v>
      </c>
    </row>
    <row r="17" customFormat="false" ht="15" hidden="false" customHeight="false" outlineLevel="0" collapsed="false">
      <c r="A17" s="0" t="s">
        <v>251</v>
      </c>
      <c r="B17" s="21" t="n">
        <f aca="false">B16</f>
        <v>0.795358420995554</v>
      </c>
      <c r="C17" s="20" t="s">
        <v>252</v>
      </c>
    </row>
    <row r="18" customFormat="false" ht="15" hidden="false" customHeight="false" outlineLevel="0" collapsed="false">
      <c r="A18" s="0" t="s">
        <v>253</v>
      </c>
      <c r="B18" s="11" t="n">
        <f aca="false">Data!$G$15/12</f>
        <v>768416.666666667</v>
      </c>
    </row>
    <row r="20" customFormat="false" ht="15" hidden="false" customHeight="false" outlineLevel="0" collapsed="false">
      <c r="A20" s="3" t="s">
        <v>254</v>
      </c>
      <c r="B20" s="3" t="s">
        <v>248</v>
      </c>
      <c r="C20" s="3"/>
    </row>
    <row r="21" customFormat="false" ht="15" hidden="false" customHeight="false" outlineLevel="0" collapsed="false">
      <c r="A21" s="4" t="s">
        <v>255</v>
      </c>
      <c r="B21" s="22" t="n">
        <f aca="false">1-B17</f>
        <v>0.204641579004446</v>
      </c>
    </row>
    <row r="22" customFormat="false" ht="15" hidden="false" customHeight="false" outlineLevel="0" collapsed="false">
      <c r="A22" s="7" t="s">
        <v>256</v>
      </c>
      <c r="B22" s="8" t="n">
        <f aca="false">IF(B21=0,0,B13/B21)</f>
        <v>660594.573812047</v>
      </c>
    </row>
    <row r="23" customFormat="false" ht="15" hidden="false" customHeight="false" outlineLevel="0" collapsed="false">
      <c r="A23" s="4" t="s">
        <v>257</v>
      </c>
      <c r="B23" s="6" t="n">
        <f aca="false">B18-B22</f>
        <v>107822.092854619</v>
      </c>
    </row>
    <row r="24" customFormat="false" ht="15" hidden="false" customHeight="false" outlineLevel="0" collapsed="false">
      <c r="A24" s="4" t="s">
        <v>258</v>
      </c>
      <c r="B24" s="13" t="n">
        <f aca="false">IF(B18=0,0,B23/B18)</f>
        <v>0.140317223105458</v>
      </c>
    </row>
    <row r="25" customFormat="false" ht="15" hidden="false" customHeight="false" outlineLevel="0" collapsed="false">
      <c r="A25" s="7" t="s">
        <v>259</v>
      </c>
      <c r="B25" s="8" t="n">
        <f aca="false">B18*B21-B13</f>
        <v>22064.8833333333</v>
      </c>
    </row>
    <row r="26" customFormat="false" ht="15" hidden="false" customHeight="false" outlineLevel="0" collapsed="false">
      <c r="A26" s="4" t="s">
        <v>260</v>
      </c>
      <c r="B26" s="4" t="str">
        <f aca="false">IF(B25&gt;0,"Profit",IF(B25=0,"Break-even","Loss"))</f>
        <v>Profit</v>
      </c>
    </row>
    <row r="28" customFormat="false" ht="15" hidden="false" customHeight="false" outlineLevel="0" collapsed="false">
      <c r="A28" s="7" t="s">
        <v>261</v>
      </c>
    </row>
    <row r="29" customFormat="false" ht="15" hidden="false" customHeight="false" outlineLevel="0" collapsed="false">
      <c r="A29" s="7" t="s">
        <v>262</v>
      </c>
      <c r="B29" s="23" t="n">
        <v>0.75</v>
      </c>
      <c r="C29" s="23" t="n">
        <v>0.78</v>
      </c>
      <c r="D29" s="22" t="n">
        <f aca="false">B16</f>
        <v>0.795358420995554</v>
      </c>
      <c r="E29" s="23" t="n">
        <v>0.8</v>
      </c>
      <c r="F29" s="23" t="n">
        <v>0.82</v>
      </c>
      <c r="G29" s="23" t="n">
        <v>0.85</v>
      </c>
    </row>
    <row r="30" customFormat="false" ht="15" hidden="false" customHeight="false" outlineLevel="0" collapsed="false">
      <c r="A30" s="0" t="s">
        <v>263</v>
      </c>
      <c r="B30" s="24" t="n">
        <f aca="false">$B$18*(1-B29)-$B$13</f>
        <v>56919.05</v>
      </c>
      <c r="C30" s="24" t="n">
        <f aca="false">$B$18*(1-C29)-$B$13</f>
        <v>33866.55</v>
      </c>
      <c r="D30" s="24" t="n">
        <f aca="false">$B$18*(1-D29)-$B$13</f>
        <v>22064.8833333333</v>
      </c>
      <c r="E30" s="24" t="n">
        <f aca="false">$B$18*(1-E29)-$B$13</f>
        <v>18498.2166666666</v>
      </c>
      <c r="F30" s="24" t="n">
        <f aca="false">$B$18*(1-F29)-$B$13</f>
        <v>3129.88333333336</v>
      </c>
      <c r="G30" s="24" t="n">
        <f aca="false">$B$18*(1-G29)-$B$13</f>
        <v>-19922.6166666667</v>
      </c>
    </row>
    <row r="31" customFormat="false" ht="15" hidden="false" customHeight="false" outlineLevel="0" collapsed="false">
      <c r="A31" s="0" t="s">
        <v>264</v>
      </c>
      <c r="B31" s="25" t="n">
        <f aca="false">1-B13/B18</f>
        <v>0.824073159093374</v>
      </c>
    </row>
    <row r="32" customFormat="false" ht="15" hidden="false" customHeight="false" outlineLevel="0" collapsed="false">
      <c r="A32" s="15" t="s">
        <v>265</v>
      </c>
    </row>
    <row r="34" customFormat="false" ht="15" hidden="false" customHeight="false" outlineLevel="0" collapsed="false">
      <c r="A34" s="7" t="s">
        <v>266</v>
      </c>
    </row>
    <row r="35" customFormat="false" ht="15" hidden="false" customHeight="false" outlineLevel="0" collapsed="false">
      <c r="A35" s="3" t="s">
        <v>267</v>
      </c>
      <c r="B35" s="3" t="s">
        <v>128</v>
      </c>
      <c r="C35" s="3" t="s">
        <v>268</v>
      </c>
      <c r="D35" s="3" t="s">
        <v>269</v>
      </c>
    </row>
    <row r="36" customFormat="false" ht="15" hidden="false" customHeight="false" outlineLevel="0" collapsed="false">
      <c r="A36" s="26" t="n">
        <v>0</v>
      </c>
      <c r="B36" s="27" t="n">
        <f aca="false">A36</f>
        <v>0</v>
      </c>
      <c r="C36" s="27" t="n">
        <f aca="false">$B$13</f>
        <v>135185.116666667</v>
      </c>
      <c r="D36" s="27" t="n">
        <f aca="false">$B$13+A36*$B$17</f>
        <v>135185.116666667</v>
      </c>
    </row>
    <row r="37" customFormat="false" ht="15" hidden="false" customHeight="false" outlineLevel="0" collapsed="false">
      <c r="A37" s="26" t="n">
        <v>100000</v>
      </c>
      <c r="B37" s="27" t="n">
        <f aca="false">A37</f>
        <v>100000</v>
      </c>
      <c r="C37" s="27" t="n">
        <f aca="false">$B$13</f>
        <v>135185.116666667</v>
      </c>
      <c r="D37" s="27" t="n">
        <f aca="false">$B$13+A37*$B$17</f>
        <v>214720.958766222</v>
      </c>
    </row>
    <row r="38" customFormat="false" ht="15" hidden="false" customHeight="false" outlineLevel="0" collapsed="false">
      <c r="A38" s="26" t="n">
        <v>200000</v>
      </c>
      <c r="B38" s="27" t="n">
        <f aca="false">A38</f>
        <v>200000</v>
      </c>
      <c r="C38" s="27" t="n">
        <f aca="false">$B$13</f>
        <v>135185.116666667</v>
      </c>
      <c r="D38" s="27" t="n">
        <f aca="false">$B$13+A38*$B$17</f>
        <v>294256.800865777</v>
      </c>
    </row>
    <row r="39" customFormat="false" ht="15" hidden="false" customHeight="false" outlineLevel="0" collapsed="false">
      <c r="A39" s="26" t="n">
        <v>300000</v>
      </c>
      <c r="B39" s="27" t="n">
        <f aca="false">A39</f>
        <v>300000</v>
      </c>
      <c r="C39" s="27" t="n">
        <f aca="false">$B$13</f>
        <v>135185.116666667</v>
      </c>
      <c r="D39" s="27" t="n">
        <f aca="false">$B$13+A39*$B$17</f>
        <v>373792.642965333</v>
      </c>
    </row>
    <row r="40" customFormat="false" ht="15" hidden="false" customHeight="false" outlineLevel="0" collapsed="false">
      <c r="A40" s="26" t="n">
        <v>400000</v>
      </c>
      <c r="B40" s="27" t="n">
        <f aca="false">A40</f>
        <v>400000</v>
      </c>
      <c r="C40" s="27" t="n">
        <f aca="false">$B$13</f>
        <v>135185.116666667</v>
      </c>
      <c r="D40" s="27" t="n">
        <f aca="false">$B$13+A40*$B$17</f>
        <v>453328.485064888</v>
      </c>
    </row>
    <row r="41" customFormat="false" ht="15" hidden="false" customHeight="false" outlineLevel="0" collapsed="false">
      <c r="A41" s="26" t="n">
        <v>500000</v>
      </c>
      <c r="B41" s="27" t="n">
        <f aca="false">A41</f>
        <v>500000</v>
      </c>
      <c r="C41" s="27" t="n">
        <f aca="false">$B$13</f>
        <v>135185.116666667</v>
      </c>
      <c r="D41" s="27" t="n">
        <f aca="false">$B$13+A41*$B$17</f>
        <v>532864.327164443</v>
      </c>
    </row>
    <row r="42" customFormat="false" ht="15" hidden="false" customHeight="false" outlineLevel="0" collapsed="false">
      <c r="A42" s="26" t="n">
        <v>600000</v>
      </c>
      <c r="B42" s="27" t="n">
        <f aca="false">A42</f>
        <v>600000</v>
      </c>
      <c r="C42" s="27" t="n">
        <f aca="false">$B$13</f>
        <v>135185.116666667</v>
      </c>
      <c r="D42" s="27" t="n">
        <f aca="false">$B$13+A42*$B$17</f>
        <v>612400.169263999</v>
      </c>
    </row>
    <row r="43" customFormat="false" ht="15" hidden="false" customHeight="false" outlineLevel="0" collapsed="false">
      <c r="A43" s="26" t="n">
        <v>700000</v>
      </c>
      <c r="B43" s="27" t="n">
        <f aca="false">A43</f>
        <v>700000</v>
      </c>
      <c r="C43" s="27" t="n">
        <f aca="false">$B$13</f>
        <v>135185.116666667</v>
      </c>
      <c r="D43" s="27" t="n">
        <f aca="false">$B$13+A43*$B$17</f>
        <v>691936.011363554</v>
      </c>
    </row>
    <row r="44" customFormat="false" ht="15" hidden="false" customHeight="false" outlineLevel="0" collapsed="false">
      <c r="A44" s="26" t="n">
        <v>800000</v>
      </c>
      <c r="B44" s="27" t="n">
        <f aca="false">A44</f>
        <v>800000</v>
      </c>
      <c r="C44" s="27" t="n">
        <f aca="false">$B$13</f>
        <v>135185.116666667</v>
      </c>
      <c r="D44" s="27" t="n">
        <f aca="false">$B$13+A44*$B$17</f>
        <v>771471.85346311</v>
      </c>
    </row>
    <row r="45" customFormat="false" ht="15" hidden="false" customHeight="false" outlineLevel="0" collapsed="false">
      <c r="A45" s="26" t="n">
        <v>900000</v>
      </c>
      <c r="B45" s="27" t="n">
        <f aca="false">A45</f>
        <v>900000</v>
      </c>
      <c r="C45" s="27" t="n">
        <f aca="false">$B$13</f>
        <v>135185.116666667</v>
      </c>
      <c r="D45" s="27" t="n">
        <f aca="false">$B$13+A45*$B$17</f>
        <v>851007.695562665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3" t="s">
        <v>219</v>
      </c>
      <c r="B4" s="3" t="s">
        <v>126</v>
      </c>
      <c r="C4" s="3" t="s">
        <v>272</v>
      </c>
    </row>
    <row r="5" customFormat="false" ht="15" hidden="false" customHeight="false" outlineLevel="0" collapsed="false">
      <c r="A5" s="4" t="s">
        <v>273</v>
      </c>
      <c r="B5" s="11" t="n">
        <f aca="false">'Break-even'!B18*12*(1-'Break-even'!B16)-'Break-even'!B13*12</f>
        <v>264778.6</v>
      </c>
      <c r="C5" s="16" t="s">
        <v>274</v>
      </c>
    </row>
    <row r="6" customFormat="false" ht="15" hidden="false" customHeight="false" outlineLevel="0" collapsed="false">
      <c r="A6" s="4" t="s">
        <v>275</v>
      </c>
      <c r="B6" s="11" t="n">
        <f aca="false">Data!$G$16</f>
        <v>24000</v>
      </c>
      <c r="C6" s="16" t="s">
        <v>276</v>
      </c>
    </row>
    <row r="7" customFormat="false" ht="15" hidden="false" customHeight="false" outlineLevel="0" collapsed="false">
      <c r="A7" s="4" t="s">
        <v>277</v>
      </c>
      <c r="B7" s="11" t="n">
        <f aca="false">'Break-even'!B12*12</f>
        <v>64500</v>
      </c>
      <c r="C7" s="16" t="s">
        <v>278</v>
      </c>
    </row>
    <row r="8" customFormat="false" ht="15" hidden="false" customHeight="false" outlineLevel="0" collapsed="false">
      <c r="A8" s="4" t="s">
        <v>279</v>
      </c>
      <c r="B8" s="11" t="n">
        <f aca="false">-Data!$C$43</f>
        <v>-8625</v>
      </c>
      <c r="C8" s="16" t="s">
        <v>280</v>
      </c>
    </row>
    <row r="9" customFormat="false" ht="15" hidden="false" customHeight="false" outlineLevel="0" collapsed="false">
      <c r="A9" s="4" t="s">
        <v>281</v>
      </c>
      <c r="B9" s="11" t="n">
        <f aca="false">-Data!$C$44</f>
        <v>-7000</v>
      </c>
      <c r="C9" s="16" t="s">
        <v>280</v>
      </c>
    </row>
    <row r="10" customFormat="false" ht="15" hidden="false" customHeight="false" outlineLevel="0" collapsed="false">
      <c r="A10" s="4" t="s">
        <v>282</v>
      </c>
      <c r="B10" s="11" t="n">
        <f aca="false">-Data!$G$26</f>
        <v>-26267.85</v>
      </c>
      <c r="C10" s="16" t="s">
        <v>283</v>
      </c>
    </row>
    <row r="11" customFormat="false" ht="15" hidden="false" customHeight="false" outlineLevel="0" collapsed="false">
      <c r="A11" s="7" t="s">
        <v>284</v>
      </c>
      <c r="B11" s="6" t="n">
        <f aca="false">SUM(B5:B10)</f>
        <v>311385.75</v>
      </c>
    </row>
    <row r="12" customFormat="false" ht="15" hidden="false" customHeight="false" outlineLevel="0" collapsed="false">
      <c r="A12" s="4" t="s">
        <v>285</v>
      </c>
      <c r="B12" s="5" t="n">
        <v>311385.75</v>
      </c>
      <c r="C12" s="16" t="s">
        <v>286</v>
      </c>
    </row>
    <row r="13" customFormat="false" ht="15" hidden="false" customHeight="false" outlineLevel="0" collapsed="false">
      <c r="A13" s="7" t="s">
        <v>212</v>
      </c>
      <c r="B13" s="6" t="n">
        <f aca="false">ROUND(B11-B12,2)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2026-10-28T17:13:56Z</dcterms:created>
  <dc:creator>openpyxl</dc:creator>
  <dc:description/>
  <dc:language>en-US</dc:language>
  <cp:lastModifiedBy/>
  <dcterms:modified xsi:type="dcterms:W3CDTF">2026-10-28T17:13:58Z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